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G:\共有ドライブ\02Sales\02顧客フォルダ\さ\ENKサンエイG\ENK株式会社リー・グローブ(サンエイG)\EV保守\提案資料\"/>
    </mc:Choice>
  </mc:AlternateContent>
  <xr:revisionPtr revIDLastSave="0" documentId="13_ncr:1_{77C3DF4E-67C8-4312-9AAC-AFEBAF895EA8}" xr6:coauthVersionLast="47" xr6:coauthVersionMax="47" xr10:uidLastSave="{00000000-0000-0000-0000-000000000000}"/>
  <bookViews>
    <workbookView xWindow="-28920" yWindow="3270" windowWidth="29040" windowHeight="15720" xr2:uid="{C5697FFD-A8CE-4C19-A86B-184F821D6267}"/>
  </bookViews>
  <sheets>
    <sheet name="エレコミ" sheetId="1" r:id="rId1"/>
  </sheets>
  <definedNames>
    <definedName name="_xlnm.Print_Area" localSheetId="0">エレコミ!$A$1:$CY$78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<sst xmlns="http://schemas.openxmlformats.org/spreadsheetml/2006/main" count="127" uniqueCount="61">
  <si>
    <t>EV保守 価格比較表</t>
    <rPh sb="2" eb="4">
      <t>ホシュ</t>
    </rPh>
    <rPh sb="5" eb="7">
      <t>カカク</t>
    </rPh>
    <rPh sb="7" eb="9">
      <t>ヒカク</t>
    </rPh>
    <rPh sb="9" eb="10">
      <t>ヒョウフクゴウキキョウフクゴウキ</t>
    </rPh>
    <phoneticPr fontId="8"/>
  </si>
  <si>
    <t>〒830-0044</t>
    <phoneticPr fontId="8"/>
  </si>
  <si>
    <t>福岡県久留米市本町2-23　栗原ビルディング4F</t>
    <rPh sb="0" eb="9">
      <t>フクオカケンクルメシホンマチ</t>
    </rPh>
    <rPh sb="14" eb="16">
      <t>クリハラ</t>
    </rPh>
    <phoneticPr fontId="8"/>
  </si>
  <si>
    <t>TEL：0942-64-9035　　FAX：0942-64-9036</t>
    <phoneticPr fontId="8"/>
  </si>
  <si>
    <t>担当:小坂</t>
    <rPh sb="0" eb="2">
      <t>タントウ</t>
    </rPh>
    <rPh sb="3" eb="5">
      <t>コサカ</t>
    </rPh>
    <phoneticPr fontId="8"/>
  </si>
  <si>
    <t xml:space="preserve">-  エ レ ベ ー タ ー 料 金 詳 細 内 訳  - </t>
    <rPh sb="15" eb="16">
      <t>リョウ</t>
    </rPh>
    <rPh sb="17" eb="18">
      <t>キン</t>
    </rPh>
    <rPh sb="19" eb="20">
      <t>ショウ</t>
    </rPh>
    <rPh sb="21" eb="22">
      <t>ホソ</t>
    </rPh>
    <rPh sb="23" eb="24">
      <t>ナイ</t>
    </rPh>
    <rPh sb="25" eb="26">
      <t>ヤク</t>
    </rPh>
    <phoneticPr fontId="8"/>
  </si>
  <si>
    <t>設置場所</t>
    <rPh sb="0" eb="2">
      <t>セッチ</t>
    </rPh>
    <rPh sb="2" eb="4">
      <t>バショ</t>
    </rPh>
    <phoneticPr fontId="8"/>
  </si>
  <si>
    <t>メーカー</t>
    <phoneticPr fontId="8"/>
  </si>
  <si>
    <t>台数</t>
    <rPh sb="0" eb="2">
      <t>ダイスウ</t>
    </rPh>
    <phoneticPr fontId="8"/>
  </si>
  <si>
    <t>保守ベンダー</t>
    <rPh sb="0" eb="2">
      <t>ホシュ</t>
    </rPh>
    <phoneticPr fontId="8"/>
  </si>
  <si>
    <t>点検頻度</t>
    <rPh sb="0" eb="4">
      <t>テンケンヒンド</t>
    </rPh>
    <phoneticPr fontId="8"/>
  </si>
  <si>
    <t>仕様</t>
    <rPh sb="0" eb="2">
      <t>シヨウ</t>
    </rPh>
    <phoneticPr fontId="8"/>
  </si>
  <si>
    <t>停止階数</t>
    <rPh sb="0" eb="4">
      <t>テイシカイスウ</t>
    </rPh>
    <phoneticPr fontId="8"/>
  </si>
  <si>
    <t>契約内容</t>
    <rPh sb="0" eb="2">
      <t>ケイヤク</t>
    </rPh>
    <rPh sb="2" eb="4">
      <t>ナイヨウ</t>
    </rPh>
    <phoneticPr fontId="8"/>
  </si>
  <si>
    <t>月額保守料金</t>
    <rPh sb="0" eb="2">
      <t>ゲツガク</t>
    </rPh>
    <rPh sb="2" eb="4">
      <t>ホシュ</t>
    </rPh>
    <rPh sb="4" eb="6">
      <t>リョウキン</t>
    </rPh>
    <phoneticPr fontId="8"/>
  </si>
  <si>
    <t>提案ベンダー</t>
    <rPh sb="0" eb="2">
      <t>テイアン</t>
    </rPh>
    <phoneticPr fontId="8"/>
  </si>
  <si>
    <t>月額保守料金</t>
    <rPh sb="0" eb="2">
      <t>ゲツガk</t>
    </rPh>
    <rPh sb="2" eb="4">
      <t>ホシュ</t>
    </rPh>
    <phoneticPr fontId="8"/>
  </si>
  <si>
    <t>日立</t>
    <rPh sb="0" eb="2">
      <t>ヒタチ</t>
    </rPh>
    <phoneticPr fontId="3"/>
  </si>
  <si>
    <t>有人点検
1回/3ヶ月</t>
    <rPh sb="0" eb="2">
      <t>ユウジン</t>
    </rPh>
    <rPh sb="2" eb="4">
      <t>テンケン</t>
    </rPh>
    <rPh sb="6" eb="7">
      <t>カイ</t>
    </rPh>
    <rPh sb="10" eb="11">
      <t>ゲツ</t>
    </rPh>
    <phoneticPr fontId="8"/>
  </si>
  <si>
    <t>遠隔監視装置付き</t>
    <phoneticPr fontId="8"/>
  </si>
  <si>
    <t>POG契約</t>
    <rPh sb="3" eb="5">
      <t>ケイヤク</t>
    </rPh>
    <phoneticPr fontId="3"/>
  </si>
  <si>
    <t>エレベーターコミュニケーションズ㈱</t>
    <phoneticPr fontId="3"/>
  </si>
  <si>
    <t>販売価格　合計</t>
    <rPh sb="0" eb="2">
      <t>ハンバイ</t>
    </rPh>
    <rPh sb="2" eb="4">
      <t>カカク</t>
    </rPh>
    <rPh sb="5" eb="7">
      <t>ゴウケイ</t>
    </rPh>
    <phoneticPr fontId="8"/>
  </si>
  <si>
    <t>-  合 計   -</t>
    <rPh sb="3" eb="4">
      <t>ゴウ</t>
    </rPh>
    <rPh sb="5" eb="6">
      <t>ケイ</t>
    </rPh>
    <phoneticPr fontId="8"/>
  </si>
  <si>
    <t>-  合 計  -</t>
    <rPh sb="3" eb="4">
      <t>ゴウ</t>
    </rPh>
    <rPh sb="5" eb="6">
      <t>ケイ</t>
    </rPh>
    <phoneticPr fontId="8"/>
  </si>
  <si>
    <t>合計金額　（単月）</t>
    <phoneticPr fontId="3"/>
  </si>
  <si>
    <t>合計金額　（年間）</t>
    <phoneticPr fontId="3"/>
  </si>
  <si>
    <t>合計金額　（10年間）</t>
    <phoneticPr fontId="3"/>
  </si>
  <si>
    <t>-  削 減 料 金  -</t>
    <rPh sb="3" eb="4">
      <t>サク</t>
    </rPh>
    <rPh sb="5" eb="6">
      <t>ゲン</t>
    </rPh>
    <rPh sb="7" eb="8">
      <t>リョウ</t>
    </rPh>
    <rPh sb="9" eb="10">
      <t>キン</t>
    </rPh>
    <phoneticPr fontId="8"/>
  </si>
  <si>
    <t>年間売上高に換算したコスト削減効果</t>
    <rPh sb="0" eb="2">
      <t>ネンカン</t>
    </rPh>
    <rPh sb="2" eb="5">
      <t>ウリアゲダカ</t>
    </rPh>
    <rPh sb="6" eb="8">
      <t>カンサン</t>
    </rPh>
    <rPh sb="13" eb="15">
      <t>サクゲン</t>
    </rPh>
    <rPh sb="15" eb="17">
      <t>コウカ</t>
    </rPh>
    <phoneticPr fontId="8"/>
  </si>
  <si>
    <t>合計合算削減金額　（単月）</t>
    <phoneticPr fontId="3"/>
  </si>
  <si>
    <t>利益率</t>
    <rPh sb="0" eb="3">
      <t>リエキリツ</t>
    </rPh>
    <phoneticPr fontId="8"/>
  </si>
  <si>
    <t>年間
売上高</t>
    <rPh sb="0" eb="2">
      <t>ネンカン</t>
    </rPh>
    <rPh sb="3" eb="6">
      <t>ウリアゲダカ</t>
    </rPh>
    <phoneticPr fontId="8"/>
  </si>
  <si>
    <t>合計合算削減金額　（年間）</t>
    <phoneticPr fontId="3"/>
  </si>
  <si>
    <t>合計合算削減金額　（10年間）</t>
    <phoneticPr fontId="3"/>
  </si>
  <si>
    <t>合計合算削減金額　（6年間）</t>
    <phoneticPr fontId="3"/>
  </si>
  <si>
    <t>上記程度の「売上高が増加した」ことと
同等の効果が得られます</t>
    <phoneticPr fontId="8"/>
  </si>
  <si>
    <t>削減率</t>
    <rPh sb="0" eb="3">
      <t>サクゲンリツ</t>
    </rPh>
    <phoneticPr fontId="3"/>
  </si>
  <si>
    <t>【備考】</t>
    <rPh sb="1" eb="3">
      <t>ビコウ</t>
    </rPh>
    <phoneticPr fontId="3"/>
  </si>
  <si>
    <t>株式会社リー・グローブ　 御中　　</t>
    <rPh sb="0" eb="4">
      <t>カブシキガイシャ</t>
    </rPh>
    <rPh sb="13" eb="15">
      <t>オンチュウ</t>
    </rPh>
    <phoneticPr fontId="8"/>
  </si>
  <si>
    <t>ジャンボ岩国店</t>
    <phoneticPr fontId="3"/>
  </si>
  <si>
    <t>ジャンボ防府店</t>
    <phoneticPr fontId="3"/>
  </si>
  <si>
    <t>ジャンボ井原店</t>
    <phoneticPr fontId="3"/>
  </si>
  <si>
    <t>ジャンボ水島店</t>
    <phoneticPr fontId="3"/>
  </si>
  <si>
    <t>サンエイ倉敷本店</t>
    <phoneticPr fontId="3"/>
  </si>
  <si>
    <t>ジャンボ備前店</t>
    <phoneticPr fontId="3"/>
  </si>
  <si>
    <t>FM契約</t>
    <rPh sb="2" eb="4">
      <t>ケイヤク</t>
    </rPh>
    <phoneticPr fontId="3"/>
  </si>
  <si>
    <t>有人点検
1回/2ヶ月</t>
    <rPh sb="0" eb="2">
      <t>ユウジン</t>
    </rPh>
    <rPh sb="2" eb="4">
      <t>テンケン</t>
    </rPh>
    <rPh sb="6" eb="7">
      <t>カイ</t>
    </rPh>
    <rPh sb="10" eb="11">
      <t>ゲツ</t>
    </rPh>
    <phoneticPr fontId="8"/>
  </si>
  <si>
    <t>フジテック</t>
    <phoneticPr fontId="3"/>
  </si>
  <si>
    <t>三菱</t>
    <rPh sb="0" eb="2">
      <t>ミツビシ</t>
    </rPh>
    <phoneticPr fontId="3"/>
  </si>
  <si>
    <t>東芝</t>
    <rPh sb="0" eb="2">
      <t>トウシバ</t>
    </rPh>
    <phoneticPr fontId="3"/>
  </si>
  <si>
    <t>遠隔監視装置付き
QRサポート付き</t>
    <rPh sb="0" eb="2">
      <t>エンカク</t>
    </rPh>
    <rPh sb="2" eb="4">
      <t>カンシ</t>
    </rPh>
    <rPh sb="4" eb="6">
      <t>ソウチ</t>
    </rPh>
    <rPh sb="6" eb="7">
      <t>ツ</t>
    </rPh>
    <phoneticPr fontId="8"/>
  </si>
  <si>
    <t>マーキュリーアシェンソーレ㈱</t>
    <phoneticPr fontId="3"/>
  </si>
  <si>
    <t>エス・イー・シーエレベーター㈱</t>
    <phoneticPr fontId="3"/>
  </si>
  <si>
    <t>不明</t>
    <rPh sb="0" eb="2">
      <t>フメイ</t>
    </rPh>
    <phoneticPr fontId="3"/>
  </si>
  <si>
    <t>アミスタ大供</t>
    <rPh sb="4" eb="5">
      <t>ダイ</t>
    </rPh>
    <rPh sb="5" eb="6">
      <t>トモ</t>
    </rPh>
    <phoneticPr fontId="3"/>
  </si>
  <si>
    <t>アミスタ東島田</t>
    <rPh sb="4" eb="5">
      <t>ヒガシ</t>
    </rPh>
    <rPh sb="5" eb="7">
      <t>シマダ</t>
    </rPh>
    <phoneticPr fontId="3"/>
  </si>
  <si>
    <t>オーチス</t>
    <phoneticPr fontId="3"/>
  </si>
  <si>
    <t>日本オーチス・エレベータ㈱</t>
    <rPh sb="0" eb="2">
      <t>ニホン</t>
    </rPh>
    <phoneticPr fontId="3"/>
  </si>
  <si>
    <t>不明</t>
    <rPh sb="0" eb="2">
      <t>フメイ</t>
    </rPh>
    <phoneticPr fontId="8"/>
  </si>
  <si>
    <r>
      <t xml:space="preserve">・エレベーターコミュニケーションズ㈱様はエレベーターの独立系保守ベンダーにて業界3位の規模となり、札幌証券取引所および福岡証券取引所の本則市場に上場しております。
・上記金額はすべて年1回の法定検査も含まれた金額となります。
・上記ランニングコストに加え、約25年周期のリニューアル工事費用につきましては、メーカー系保守ベンダー対比で独立系保守ベンダーは30％-40％程度削減できる見込みです。
※原則、現在の契約内容と同条件にて価格の比較をしております。点検条件、その他オプション等につきましてはお見積をご覧くださいませ。
※金額不名分(アミスタ大供、東島田)は比較対象から外しております。
</t>
    </r>
    <r>
      <rPr>
        <b/>
        <sz val="16"/>
        <color rgb="FFFF0000"/>
        <rFont val="Meiryo UI"/>
        <family val="3"/>
        <charset val="128"/>
      </rPr>
      <t>※ジャンボ岩国店は既存契約がPOG契約ですが、ご依頼に従ってFM契約にて見積を取得しております。
※当時の契約から既存の料金が値上げになっているとのことでしたので、削減額は上記シミュレーションよりも大きくなる見込みです。(宇佐見部長よりお聞きしました件です)</t>
    </r>
    <rPh sb="18" eb="19">
      <t>サマ</t>
    </rPh>
    <rPh sb="27" eb="30">
      <t>ドクリツケイ</t>
    </rPh>
    <rPh sb="30" eb="32">
      <t>ホシュ</t>
    </rPh>
    <rPh sb="38" eb="40">
      <t>ギョウカイ</t>
    </rPh>
    <rPh sb="41" eb="42">
      <t>イ</t>
    </rPh>
    <rPh sb="43" eb="45">
      <t>キボ</t>
    </rPh>
    <rPh sb="49" eb="56">
      <t>サッポロショウケントリヒキジョ</t>
    </rPh>
    <rPh sb="59" eb="66">
      <t>フクオカショウケントリヒキジョ</t>
    </rPh>
    <rPh sb="67" eb="71">
      <t>ホンソクシジョウ</t>
    </rPh>
    <rPh sb="72" eb="74">
      <t>ジョウジョウ</t>
    </rPh>
    <rPh sb="83" eb="85">
      <t>ジョウキ</t>
    </rPh>
    <rPh sb="85" eb="87">
      <t>キンガク</t>
    </rPh>
    <rPh sb="91" eb="92">
      <t>ネン</t>
    </rPh>
    <rPh sb="93" eb="94">
      <t>カイ</t>
    </rPh>
    <rPh sb="199" eb="201">
      <t>ゲンソク</t>
    </rPh>
    <rPh sb="202" eb="204">
      <t>ゲンザイ</t>
    </rPh>
    <rPh sb="215" eb="217">
      <t>カカク</t>
    </rPh>
    <rPh sb="218" eb="220">
      <t>ヒカク</t>
    </rPh>
    <rPh sb="228" eb="232">
      <t>テンケンジョウケン</t>
    </rPh>
    <rPh sb="235" eb="236">
      <t>タ</t>
    </rPh>
    <rPh sb="241" eb="242">
      <t>ナド</t>
    </rPh>
    <rPh sb="250" eb="252">
      <t>ミツモ</t>
    </rPh>
    <rPh sb="254" eb="255">
      <t>ラン</t>
    </rPh>
    <rPh sb="264" eb="269">
      <t>キンガクフメイブン</t>
    </rPh>
    <rPh sb="274" eb="275">
      <t>オオ</t>
    </rPh>
    <rPh sb="282" eb="286">
      <t>ヒカクタイショウ</t>
    </rPh>
    <rPh sb="288" eb="289">
      <t>ハズ</t>
    </rPh>
    <rPh sb="302" eb="305">
      <t>イワクニテン</t>
    </rPh>
    <rPh sb="306" eb="310">
      <t>キゾンケイヤク</t>
    </rPh>
    <rPh sb="314" eb="316">
      <t>ケイヤク</t>
    </rPh>
    <rPh sb="321" eb="323">
      <t>イライ</t>
    </rPh>
    <rPh sb="324" eb="325">
      <t>シタガ</t>
    </rPh>
    <rPh sb="329" eb="331">
      <t>ケイヤク</t>
    </rPh>
    <rPh sb="333" eb="335">
      <t>ミツ</t>
    </rPh>
    <rPh sb="336" eb="338">
      <t>シュトク</t>
    </rPh>
    <rPh sb="360" eb="362">
      <t>ネア</t>
    </rPh>
    <rPh sb="379" eb="382">
      <t>サクゲンガク</t>
    </rPh>
    <rPh sb="383" eb="385">
      <t>ジョウキ</t>
    </rPh>
    <rPh sb="396" eb="397">
      <t>オオ</t>
    </rPh>
    <rPh sb="401" eb="403">
      <t>ミコ</t>
    </rPh>
    <rPh sb="416" eb="417">
      <t>キ</t>
    </rPh>
    <rPh sb="422" eb="423">
      <t>ケントウジケイヤク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</si>
</sst>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 &quot;¥&quot;* #,##0_ ;_ &quot;¥&quot;* \-#,##0_ ;_ &quot;¥&quot;* &quot;-&quot;_ ;_ @_ "/>
    <numFmt numFmtId="43" formatCode="_ * #,##0.00_ ;_ * \-#,##0.00_ ;_ * &quot;-&quot;??_ ;_ @_ "/>
    <numFmt numFmtId="176" formatCode="#,##0_);[Red]\(#,##0\)"/>
    <numFmt numFmtId="177" formatCode="yyyy&quot;年&quot;m&quot;月&quot;;@"/>
    <numFmt numFmtId="178" formatCode="&quot;¥&quot;#,##0_);[Red]\(&quot;¥&quot;#,##0\)"/>
    <numFmt numFmtId="179" formatCode="_ * #,##0_ ;_ * \-#,##0_ ;_ * &quot;-&quot;??_ ;_ @_ "/>
    <numFmt numFmtId="180" formatCode="#,##0;&quot;△ &quot;#,##0"/>
  </numFmts>
  <fonts count="28" x14ac:knownFonts="1">
    <font>
      <sz val="11"/>
      <color theme="1"/>
      <name val="游ゴシック"/>
      <family val="2"/>
      <charset val="128"/>
      <scheme val="minor"/>
    </font>
    <font>
      <sz val="10"/>
      <color indexed="8"/>
      <name val="Arial"/>
      <family val="2"/>
    </font>
    <font>
      <sz val="11"/>
      <name val="Meiryo UI"/>
      <family val="3"/>
      <charset val="128"/>
    </font>
    <font>
      <sz val="6"/>
      <name val="游ゴシック"/>
      <family val="2"/>
      <charset val="128"/>
      <scheme val="minor"/>
    </font>
    <font>
      <sz val="12"/>
      <name val="Meiryo UI"/>
      <family val="3"/>
      <charset val="128"/>
    </font>
    <font>
      <sz val="20"/>
      <name val="Meiryo UI"/>
      <family val="3"/>
      <charset val="128"/>
    </font>
    <font>
      <b/>
      <sz val="28"/>
      <name val="Meiryo UI"/>
      <family val="3"/>
      <charset val="128"/>
    </font>
    <font>
      <b/>
      <sz val="36"/>
      <name val="Meiryo UI"/>
      <family val="3"/>
      <charset val="128"/>
    </font>
    <font>
      <sz val="6"/>
      <name val="ＭＳ Ｐゴシック"/>
      <family val="3"/>
      <charset val="128"/>
    </font>
    <font>
      <b/>
      <sz val="12"/>
      <name val="Meiryo UI"/>
      <family val="3"/>
      <charset val="128"/>
    </font>
    <font>
      <b/>
      <sz val="11"/>
      <name val="Meiryo UI"/>
      <family val="3"/>
      <charset val="128"/>
    </font>
    <font>
      <sz val="16"/>
      <name val="Meiryo UI"/>
      <family val="3"/>
      <charset val="128"/>
    </font>
    <font>
      <sz val="10"/>
      <name val="Meiryo UI"/>
      <family val="3"/>
      <charset val="128"/>
    </font>
    <font>
      <sz val="9"/>
      <name val="Meiryo UI"/>
      <family val="3"/>
      <charset val="128"/>
    </font>
    <font>
      <b/>
      <sz val="24"/>
      <name val="Meiryo UI"/>
      <family val="3"/>
      <charset val="128"/>
    </font>
    <font>
      <b/>
      <sz val="22"/>
      <name val="Meiryo UI"/>
      <family val="3"/>
      <charset val="128"/>
    </font>
    <font>
      <sz val="12"/>
      <color rgb="FFFF0000"/>
      <name val="Meiryo UI"/>
      <family val="3"/>
      <charset val="128"/>
    </font>
    <font>
      <b/>
      <sz val="12"/>
      <color theme="0"/>
      <name val="Meiryo UI"/>
      <family val="3"/>
      <charset val="128"/>
    </font>
    <font>
      <b/>
      <sz val="14"/>
      <name val="Meiryo UI"/>
      <family val="3"/>
      <charset val="128"/>
    </font>
    <font>
      <b/>
      <sz val="16"/>
      <color rgb="FFFF0000"/>
      <name val="Meiryo UI"/>
      <family val="3"/>
      <charset val="128"/>
    </font>
    <font>
      <b/>
      <sz val="18"/>
      <name val="Meiryo UI"/>
      <family val="3"/>
      <charset val="128"/>
    </font>
    <font>
      <b/>
      <sz val="20"/>
      <color rgb="FFFF0000"/>
      <name val="Meiryo UI"/>
      <family val="3"/>
      <charset val="128"/>
    </font>
    <font>
      <b/>
      <sz val="20"/>
      <name val="Meiryo UI"/>
      <family val="3"/>
      <charset val="128"/>
    </font>
    <font>
      <b/>
      <sz val="16"/>
      <name val="Meiryo UI"/>
      <family val="3"/>
      <charset val="128"/>
    </font>
    <font>
      <b/>
      <i/>
      <sz val="18"/>
      <name val="Meiryo UI"/>
      <family val="3"/>
      <charset val="128"/>
    </font>
    <font>
      <b/>
      <sz val="22"/>
      <color rgb="FFFF0000"/>
      <name val="Meiryo UI"/>
      <family val="3"/>
      <charset val="128"/>
    </font>
    <font>
      <sz val="18"/>
      <name val="Meiryo UI"/>
      <family val="3"/>
      <charset val="128"/>
    </font>
    <font>
      <b/>
      <sz val="12"/>
      <color rgb="FFFF0000"/>
      <name val="Meiryo UI"/>
      <family val="3"/>
      <charset val="128"/>
    </font>
  </fonts>
  <fills count="12">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s>
  <borders count="42">
    <border>
      <left/>
      <right/>
      <top/>
      <bottom/>
      <diagonal/>
    </border>
    <border>
      <left/>
      <right/>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ck">
        <color auto="1"/>
      </left>
      <right/>
      <top/>
      <bottom/>
      <diagonal/>
    </border>
    <border>
      <left style="thick">
        <color auto="1"/>
      </left>
      <right/>
      <top style="thick">
        <color auto="1"/>
      </top>
      <bottom style="double">
        <color auto="1"/>
      </bottom>
      <diagonal/>
    </border>
    <border>
      <left/>
      <right/>
      <top style="thick">
        <color auto="1"/>
      </top>
      <bottom style="double">
        <color auto="1"/>
      </bottom>
      <diagonal/>
    </border>
    <border>
      <left/>
      <right style="thick">
        <color auto="1"/>
      </right>
      <top style="thick">
        <color auto="1"/>
      </top>
      <bottom style="double">
        <color auto="1"/>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
      <left style="thick">
        <color auto="1"/>
      </left>
      <right/>
      <top/>
      <bottom style="thick">
        <color auto="1"/>
      </bottom>
      <diagonal/>
    </border>
    <border>
      <left/>
      <right/>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4">
    <xf numFmtId="0" fontId="0" fillId="0" borderId="0">
      <alignment vertical="center"/>
    </xf>
    <xf numFmtId="0" fontId="1" fillId="0" borderId="0"/>
    <xf numFmtId="43"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229">
    <xf numFmtId="0" fontId="0" fillId="0" borderId="0" xfId="0">
      <alignment vertical="center"/>
    </xf>
    <xf numFmtId="0" fontId="2" fillId="2" borderId="0" xfId="1" applyFont="1" applyFill="1" applyAlignment="1">
      <alignment vertical="center"/>
    </xf>
    <xf numFmtId="14" fontId="4" fillId="2" borderId="0" xfId="1" applyNumberFormat="1" applyFont="1" applyFill="1" applyAlignment="1">
      <alignment vertical="top"/>
    </xf>
    <xf numFmtId="0" fontId="4" fillId="2" borderId="0" xfId="1" applyFont="1" applyFill="1" applyAlignment="1">
      <alignment vertical="top"/>
    </xf>
    <xf numFmtId="0" fontId="2" fillId="0" borderId="0" xfId="1" applyFont="1" applyAlignment="1">
      <alignment vertical="center"/>
    </xf>
    <xf numFmtId="0" fontId="5" fillId="2" borderId="0" xfId="1" applyFont="1" applyFill="1" applyAlignment="1">
      <alignment vertical="top" wrapText="1"/>
    </xf>
    <xf numFmtId="0" fontId="6" fillId="2" borderId="0" xfId="1" applyFont="1" applyFill="1" applyAlignment="1">
      <alignment vertical="center" wrapText="1"/>
    </xf>
    <xf numFmtId="0" fontId="11" fillId="2" borderId="0" xfId="1" applyFont="1" applyFill="1" applyAlignment="1">
      <alignment horizontal="center" vertical="center" wrapText="1"/>
    </xf>
    <xf numFmtId="0" fontId="11" fillId="2" borderId="0" xfId="1" applyFont="1" applyFill="1" applyAlignment="1">
      <alignment horizontal="left" vertical="center" wrapText="1"/>
    </xf>
    <xf numFmtId="176" fontId="12" fillId="2" borderId="0" xfId="1" applyNumberFormat="1" applyFont="1" applyFill="1" applyAlignment="1">
      <alignment vertical="center"/>
    </xf>
    <xf numFmtId="0" fontId="12" fillId="2" borderId="0" xfId="1" applyFont="1" applyFill="1" applyAlignment="1">
      <alignment vertical="center"/>
    </xf>
    <xf numFmtId="0" fontId="13" fillId="2" borderId="0" xfId="1" applyFont="1" applyFill="1" applyAlignment="1">
      <alignment vertical="center"/>
    </xf>
    <xf numFmtId="0" fontId="13" fillId="2" borderId="0" xfId="1" applyFont="1" applyFill="1" applyAlignment="1">
      <alignment horizontal="left" vertical="center"/>
    </xf>
    <xf numFmtId="0" fontId="1" fillId="0" borderId="0" xfId="1"/>
    <xf numFmtId="0" fontId="12" fillId="0" borderId="0" xfId="1" applyFont="1" applyAlignment="1">
      <alignment vertical="center"/>
    </xf>
    <xf numFmtId="0" fontId="13" fillId="2" borderId="0" xfId="1" applyFont="1" applyFill="1" applyAlignment="1">
      <alignment horizontal="center" vertical="center"/>
    </xf>
    <xf numFmtId="49" fontId="13" fillId="2" borderId="0" xfId="1" applyNumberFormat="1" applyFont="1" applyFill="1" applyAlignment="1">
      <alignment vertical="center"/>
    </xf>
    <xf numFmtId="179" fontId="12" fillId="2" borderId="0" xfId="2" applyNumberFormat="1" applyFont="1" applyFill="1">
      <alignment vertical="center"/>
    </xf>
    <xf numFmtId="180" fontId="12" fillId="2" borderId="0" xfId="1" applyNumberFormat="1" applyFont="1" applyFill="1" applyAlignment="1">
      <alignment vertical="center"/>
    </xf>
    <xf numFmtId="180" fontId="13" fillId="2" borderId="0" xfId="1" applyNumberFormat="1" applyFont="1" applyFill="1" applyAlignment="1">
      <alignment vertical="center"/>
    </xf>
    <xf numFmtId="176" fontId="12" fillId="0" borderId="0" xfId="1" applyNumberFormat="1" applyFont="1" applyAlignment="1">
      <alignment vertical="center"/>
    </xf>
    <xf numFmtId="0" fontId="19" fillId="2" borderId="0" xfId="1" applyFont="1" applyFill="1" applyAlignment="1">
      <alignment vertical="top"/>
    </xf>
    <xf numFmtId="0" fontId="15" fillId="2" borderId="0" xfId="1" quotePrefix="1" applyFont="1" applyFill="1" applyAlignment="1">
      <alignment vertical="center"/>
    </xf>
    <xf numFmtId="0" fontId="15" fillId="2" borderId="16" xfId="1" quotePrefix="1" applyFont="1" applyFill="1" applyBorder="1" applyAlignment="1">
      <alignment vertical="center"/>
    </xf>
    <xf numFmtId="0" fontId="2" fillId="2" borderId="3" xfId="1" applyFont="1" applyFill="1" applyBorder="1" applyAlignment="1">
      <alignment vertical="center"/>
    </xf>
    <xf numFmtId="180" fontId="2" fillId="2" borderId="0" xfId="1" applyNumberFormat="1" applyFont="1" applyFill="1" applyAlignment="1">
      <alignment vertical="center"/>
    </xf>
    <xf numFmtId="180" fontId="9" fillId="2" borderId="0" xfId="1" applyNumberFormat="1" applyFont="1" applyFill="1" applyAlignment="1">
      <alignment vertical="center"/>
    </xf>
    <xf numFmtId="0" fontId="20" fillId="2" borderId="0" xfId="1" applyFont="1" applyFill="1" applyAlignment="1">
      <alignment vertical="center"/>
    </xf>
    <xf numFmtId="0" fontId="20" fillId="2" borderId="16" xfId="1" applyFont="1" applyFill="1" applyBorder="1" applyAlignment="1">
      <alignment vertical="center"/>
    </xf>
    <xf numFmtId="42" fontId="21" fillId="2" borderId="0" xfId="1" applyNumberFormat="1" applyFont="1" applyFill="1" applyAlignment="1">
      <alignment vertical="center"/>
    </xf>
    <xf numFmtId="42" fontId="21" fillId="2" borderId="16" xfId="1" applyNumberFormat="1" applyFont="1" applyFill="1" applyBorder="1" applyAlignment="1">
      <alignment vertical="center"/>
    </xf>
    <xf numFmtId="0" fontId="19" fillId="2" borderId="0" xfId="1" applyFont="1" applyFill="1" applyAlignment="1">
      <alignment horizontal="left" vertical="top"/>
    </xf>
    <xf numFmtId="42" fontId="4" fillId="2" borderId="0" xfId="2" applyNumberFormat="1" applyFont="1" applyFill="1">
      <alignment vertical="center"/>
    </xf>
    <xf numFmtId="0" fontId="15" fillId="0" borderId="16" xfId="1" quotePrefix="1" applyFont="1" applyBorder="1" applyAlignment="1">
      <alignment vertical="center"/>
    </xf>
    <xf numFmtId="0" fontId="15" fillId="0" borderId="0" xfId="1" quotePrefix="1" applyFont="1" applyAlignment="1">
      <alignment vertical="center"/>
    </xf>
    <xf numFmtId="0" fontId="20" fillId="0" borderId="16" xfId="1" applyFont="1" applyBorder="1" applyAlignment="1">
      <alignment vertical="center"/>
    </xf>
    <xf numFmtId="0" fontId="20" fillId="0" borderId="0" xfId="1" applyFont="1" applyAlignment="1">
      <alignment vertical="center"/>
    </xf>
    <xf numFmtId="42" fontId="21" fillId="0" borderId="16" xfId="1" applyNumberFormat="1" applyFont="1" applyBorder="1" applyAlignment="1">
      <alignment vertical="center"/>
    </xf>
    <xf numFmtId="42" fontId="21" fillId="0" borderId="0" xfId="1" applyNumberFormat="1" applyFont="1" applyAlignment="1">
      <alignment vertical="center"/>
    </xf>
    <xf numFmtId="9" fontId="12" fillId="0" borderId="0" xfId="3" applyFont="1" applyAlignment="1">
      <alignment vertical="center"/>
    </xf>
    <xf numFmtId="10" fontId="21" fillId="0" borderId="16" xfId="3" applyNumberFormat="1" applyFont="1" applyFill="1" applyBorder="1" applyAlignment="1">
      <alignment vertical="center"/>
    </xf>
    <xf numFmtId="10" fontId="21" fillId="0" borderId="0" xfId="3" applyNumberFormat="1" applyFont="1" applyFill="1" applyBorder="1" applyAlignment="1">
      <alignment vertical="center"/>
    </xf>
    <xf numFmtId="0" fontId="26" fillId="0" borderId="0" xfId="1" applyFont="1" applyAlignment="1">
      <alignment horizontal="left" vertical="top"/>
    </xf>
    <xf numFmtId="0" fontId="6" fillId="2" borderId="0" xfId="1" applyFont="1" applyFill="1" applyAlignment="1">
      <alignment horizontal="center" vertical="center" wrapText="1"/>
    </xf>
    <xf numFmtId="0" fontId="6" fillId="2" borderId="1" xfId="1" applyFont="1" applyFill="1" applyBorder="1" applyAlignment="1">
      <alignment horizontal="center" vertical="center" wrapText="1"/>
    </xf>
    <xf numFmtId="0" fontId="9" fillId="2" borderId="0" xfId="1" applyFont="1" applyFill="1" applyAlignment="1">
      <alignment horizontal="right" vertical="center"/>
    </xf>
    <xf numFmtId="0" fontId="10" fillId="2" borderId="0" xfId="1" applyFont="1" applyFill="1" applyAlignment="1">
      <alignment horizontal="right" vertical="center"/>
    </xf>
    <xf numFmtId="0" fontId="4" fillId="2" borderId="0" xfId="1" applyFont="1" applyFill="1" applyAlignment="1">
      <alignment horizontal="right" vertical="center"/>
    </xf>
    <xf numFmtId="14" fontId="4" fillId="2" borderId="0" xfId="1" applyNumberFormat="1" applyFont="1" applyFill="1" applyAlignment="1">
      <alignment horizontal="center" vertical="top"/>
    </xf>
    <xf numFmtId="0" fontId="2" fillId="2" borderId="0" xfId="1" applyFont="1" applyFill="1" applyAlignment="1">
      <alignment horizontal="center" vertical="center"/>
    </xf>
    <xf numFmtId="0" fontId="7" fillId="2" borderId="0" xfId="1" applyFont="1" applyFill="1" applyAlignment="1">
      <alignment horizontal="center" vertical="center" wrapText="1"/>
    </xf>
    <xf numFmtId="0" fontId="14" fillId="2" borderId="2" xfId="1" quotePrefix="1" applyFont="1" applyFill="1" applyBorder="1" applyAlignment="1">
      <alignment horizontal="center" vertical="center"/>
    </xf>
    <xf numFmtId="0" fontId="14" fillId="2" borderId="3" xfId="1" quotePrefix="1" applyFont="1" applyFill="1" applyBorder="1" applyAlignment="1">
      <alignment horizontal="center" vertical="center"/>
    </xf>
    <xf numFmtId="0" fontId="14" fillId="2" borderId="4" xfId="1" quotePrefix="1" applyFont="1" applyFill="1" applyBorder="1" applyAlignment="1">
      <alignment horizontal="center" vertical="center"/>
    </xf>
    <xf numFmtId="0" fontId="15" fillId="2" borderId="5" xfId="1" applyFont="1" applyFill="1" applyBorder="1" applyAlignment="1">
      <alignment horizontal="center" vertical="center"/>
    </xf>
    <xf numFmtId="0" fontId="7" fillId="2" borderId="5" xfId="1" applyFont="1" applyFill="1" applyBorder="1" applyAlignment="1">
      <alignment horizontal="right" vertical="center"/>
    </xf>
    <xf numFmtId="0" fontId="9" fillId="3" borderId="6" xfId="1" applyFont="1" applyFill="1" applyBorder="1" applyAlignment="1">
      <alignment horizontal="center" vertical="center"/>
    </xf>
    <xf numFmtId="0" fontId="9" fillId="3" borderId="7" xfId="1" applyFont="1" applyFill="1" applyBorder="1" applyAlignment="1">
      <alignment horizontal="center" vertical="center"/>
    </xf>
    <xf numFmtId="0" fontId="9" fillId="3" borderId="8" xfId="1" applyFont="1" applyFill="1" applyBorder="1" applyAlignment="1">
      <alignment horizontal="center" vertical="center"/>
    </xf>
    <xf numFmtId="0" fontId="9" fillId="3" borderId="9"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11" xfId="1" applyFont="1" applyFill="1" applyBorder="1" applyAlignment="1">
      <alignment horizontal="center" vertical="center"/>
    </xf>
    <xf numFmtId="31" fontId="9" fillId="4" borderId="6" xfId="1" applyNumberFormat="1" applyFont="1" applyFill="1" applyBorder="1" applyAlignment="1">
      <alignment horizontal="center" vertical="center"/>
    </xf>
    <xf numFmtId="31" fontId="9" fillId="4" borderId="7" xfId="1" applyNumberFormat="1" applyFont="1" applyFill="1" applyBorder="1" applyAlignment="1">
      <alignment horizontal="center" vertical="center"/>
    </xf>
    <xf numFmtId="31" fontId="9" fillId="4" borderId="8" xfId="1" applyNumberFormat="1" applyFont="1" applyFill="1" applyBorder="1" applyAlignment="1">
      <alignment horizontal="center" vertical="center"/>
    </xf>
    <xf numFmtId="31" fontId="9" fillId="4" borderId="9" xfId="1" applyNumberFormat="1" applyFont="1" applyFill="1" applyBorder="1" applyAlignment="1">
      <alignment horizontal="center" vertical="center"/>
    </xf>
    <xf numFmtId="31" fontId="9" fillId="4" borderId="10" xfId="1" applyNumberFormat="1" applyFont="1" applyFill="1" applyBorder="1" applyAlignment="1">
      <alignment horizontal="center" vertical="center"/>
    </xf>
    <xf numFmtId="31" fontId="9" fillId="4" borderId="11" xfId="1" applyNumberFormat="1" applyFont="1" applyFill="1" applyBorder="1" applyAlignment="1">
      <alignment horizontal="center" vertical="center"/>
    </xf>
    <xf numFmtId="0" fontId="9" fillId="4" borderId="6" xfId="1" applyFont="1" applyFill="1" applyBorder="1" applyAlignment="1">
      <alignment horizontal="center" vertical="center"/>
    </xf>
    <xf numFmtId="0" fontId="9" fillId="4" borderId="7" xfId="1" applyFont="1" applyFill="1" applyBorder="1" applyAlignment="1">
      <alignment horizontal="center" vertical="center"/>
    </xf>
    <xf numFmtId="0" fontId="9" fillId="4" borderId="8" xfId="1" applyFont="1" applyFill="1" applyBorder="1" applyAlignment="1">
      <alignment horizontal="center" vertical="center"/>
    </xf>
    <xf numFmtId="0" fontId="9" fillId="4" borderId="9" xfId="1" applyFont="1" applyFill="1" applyBorder="1" applyAlignment="1">
      <alignment horizontal="center" vertical="center"/>
    </xf>
    <xf numFmtId="0" fontId="9" fillId="4" borderId="10" xfId="1" applyFont="1" applyFill="1" applyBorder="1" applyAlignment="1">
      <alignment horizontal="center" vertical="center"/>
    </xf>
    <xf numFmtId="0" fontId="9" fillId="4" borderId="11" xfId="1" applyFont="1" applyFill="1" applyBorder="1" applyAlignment="1">
      <alignment horizontal="center" vertical="center"/>
    </xf>
    <xf numFmtId="0" fontId="2" fillId="2" borderId="12" xfId="1" applyFont="1" applyFill="1" applyBorder="1" applyAlignment="1">
      <alignment horizontal="center" vertical="center"/>
    </xf>
    <xf numFmtId="0" fontId="2" fillId="2" borderId="13"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7" xfId="1" applyFont="1" applyFill="1" applyBorder="1" applyAlignment="1">
      <alignment horizontal="center" vertical="center"/>
    </xf>
    <xf numFmtId="0" fontId="9" fillId="2" borderId="8" xfId="1" applyFont="1" applyFill="1" applyBorder="1" applyAlignment="1">
      <alignment horizontal="center" vertical="center"/>
    </xf>
    <xf numFmtId="0" fontId="9" fillId="2" borderId="9" xfId="1" applyFont="1" applyFill="1" applyBorder="1" applyAlignment="1">
      <alignment horizontal="center" vertical="center"/>
    </xf>
    <xf numFmtId="0" fontId="9" fillId="2" borderId="10" xfId="1" applyFont="1" applyFill="1" applyBorder="1" applyAlignment="1">
      <alignment horizontal="center" vertical="center"/>
    </xf>
    <xf numFmtId="0" fontId="9" fillId="2" borderId="11" xfId="1" applyFont="1" applyFill="1" applyBorder="1" applyAlignment="1">
      <alignment horizontal="center" vertical="center"/>
    </xf>
    <xf numFmtId="31" fontId="4" fillId="2" borderId="6" xfId="1" applyNumberFormat="1" applyFont="1" applyFill="1" applyBorder="1" applyAlignment="1">
      <alignment horizontal="center" vertical="center"/>
    </xf>
    <xf numFmtId="31" fontId="4" fillId="2" borderId="7" xfId="1" applyNumberFormat="1" applyFont="1" applyFill="1" applyBorder="1" applyAlignment="1">
      <alignment horizontal="center" vertical="center"/>
    </xf>
    <xf numFmtId="31" fontId="4" fillId="2" borderId="8" xfId="1" applyNumberFormat="1" applyFont="1" applyFill="1" applyBorder="1" applyAlignment="1">
      <alignment horizontal="center" vertical="center"/>
    </xf>
    <xf numFmtId="31" fontId="4" fillId="2" borderId="9" xfId="1" applyNumberFormat="1" applyFont="1" applyFill="1" applyBorder="1" applyAlignment="1">
      <alignment horizontal="center" vertical="center"/>
    </xf>
    <xf numFmtId="31" fontId="4" fillId="2" borderId="10" xfId="1" applyNumberFormat="1" applyFont="1" applyFill="1" applyBorder="1" applyAlignment="1">
      <alignment horizontal="center" vertical="center"/>
    </xf>
    <xf numFmtId="31" fontId="4" fillId="2" borderId="11" xfId="1" applyNumberFormat="1" applyFont="1" applyFill="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xf numFmtId="0" fontId="4" fillId="2" borderId="8" xfId="1" applyFont="1" applyFill="1" applyBorder="1" applyAlignment="1">
      <alignment horizontal="center" vertical="center"/>
    </xf>
    <xf numFmtId="0" fontId="4" fillId="2" borderId="9" xfId="1" applyFont="1" applyFill="1" applyBorder="1" applyAlignment="1">
      <alignment horizontal="center" vertical="center"/>
    </xf>
    <xf numFmtId="0" fontId="4" fillId="2" borderId="10" xfId="1" applyFont="1" applyFill="1" applyBorder="1" applyAlignment="1">
      <alignment horizontal="center" vertical="center"/>
    </xf>
    <xf numFmtId="0" fontId="4" fillId="2" borderId="11" xfId="1" applyFont="1" applyFill="1" applyBorder="1" applyAlignment="1">
      <alignment horizontal="center" vertical="center"/>
    </xf>
    <xf numFmtId="37" fontId="4" fillId="2" borderId="6" xfId="1" applyNumberFormat="1" applyFont="1" applyFill="1" applyBorder="1" applyAlignment="1">
      <alignment horizontal="center" vertical="center" wrapText="1"/>
    </xf>
    <xf numFmtId="37" fontId="4" fillId="2" borderId="7" xfId="1" applyNumberFormat="1" applyFont="1" applyFill="1" applyBorder="1" applyAlignment="1">
      <alignment horizontal="center" vertical="center" wrapText="1"/>
    </xf>
    <xf numFmtId="37" fontId="4" fillId="2" borderId="8" xfId="1" applyNumberFormat="1" applyFont="1" applyFill="1" applyBorder="1" applyAlignment="1">
      <alignment horizontal="center" vertical="center" wrapText="1"/>
    </xf>
    <xf numFmtId="37" fontId="4" fillId="2" borderId="9" xfId="1" applyNumberFormat="1" applyFont="1" applyFill="1" applyBorder="1" applyAlignment="1">
      <alignment horizontal="center" vertical="center" wrapText="1"/>
    </xf>
    <xf numFmtId="37" fontId="4" fillId="2" borderId="10" xfId="1" applyNumberFormat="1" applyFont="1" applyFill="1" applyBorder="1" applyAlignment="1">
      <alignment horizontal="center" vertical="center" wrapText="1"/>
    </xf>
    <xf numFmtId="37" fontId="4" fillId="2" borderId="11" xfId="1" applyNumberFormat="1" applyFont="1" applyFill="1" applyBorder="1" applyAlignment="1">
      <alignment horizontal="center" vertical="center" wrapText="1"/>
    </xf>
    <xf numFmtId="42" fontId="18" fillId="2" borderId="6" xfId="1" applyNumberFormat="1" applyFont="1" applyFill="1" applyBorder="1" applyAlignment="1">
      <alignment horizontal="center" vertical="center"/>
    </xf>
    <xf numFmtId="42" fontId="18" fillId="2" borderId="7" xfId="1" applyNumberFormat="1" applyFont="1" applyFill="1" applyBorder="1" applyAlignment="1">
      <alignment horizontal="center" vertical="center"/>
    </xf>
    <xf numFmtId="42" fontId="18" fillId="2" borderId="8" xfId="1" applyNumberFormat="1" applyFont="1" applyFill="1" applyBorder="1" applyAlignment="1">
      <alignment horizontal="center" vertical="center"/>
    </xf>
    <xf numFmtId="42" fontId="18" fillId="2" borderId="9" xfId="1" applyNumberFormat="1" applyFont="1" applyFill="1" applyBorder="1" applyAlignment="1">
      <alignment horizontal="center" vertical="center"/>
    </xf>
    <xf numFmtId="42" fontId="18" fillId="2" borderId="10" xfId="1" applyNumberFormat="1" applyFont="1" applyFill="1" applyBorder="1" applyAlignment="1">
      <alignment horizontal="center" vertical="center"/>
    </xf>
    <xf numFmtId="42" fontId="18" fillId="2" borderId="11" xfId="1" applyNumberFormat="1" applyFont="1" applyFill="1" applyBorder="1" applyAlignment="1">
      <alignment horizontal="center" vertical="center"/>
    </xf>
    <xf numFmtId="0" fontId="15" fillId="2" borderId="2" xfId="1" quotePrefix="1" applyFont="1" applyFill="1" applyBorder="1" applyAlignment="1">
      <alignment horizontal="center" vertical="center"/>
    </xf>
    <xf numFmtId="0" fontId="15" fillId="2" borderId="3" xfId="1" quotePrefix="1" applyFont="1" applyFill="1" applyBorder="1" applyAlignment="1">
      <alignment horizontal="center" vertical="center"/>
    </xf>
    <xf numFmtId="0" fontId="15" fillId="2" borderId="4" xfId="1" quotePrefix="1" applyFont="1" applyFill="1" applyBorder="1" applyAlignment="1">
      <alignment horizontal="center" vertical="center"/>
    </xf>
    <xf numFmtId="0" fontId="4" fillId="2" borderId="6"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4" fillId="2" borderId="11" xfId="1" applyFont="1" applyFill="1" applyBorder="1" applyAlignment="1">
      <alignment horizontal="center" vertical="center" wrapText="1"/>
    </xf>
    <xf numFmtId="177" fontId="16" fillId="2" borderId="6" xfId="1" applyNumberFormat="1" applyFont="1" applyFill="1" applyBorder="1" applyAlignment="1">
      <alignment horizontal="center" vertical="center" wrapText="1"/>
    </xf>
    <xf numFmtId="177" fontId="16" fillId="2" borderId="7" xfId="1" applyNumberFormat="1" applyFont="1" applyFill="1" applyBorder="1" applyAlignment="1">
      <alignment horizontal="center" vertical="center"/>
    </xf>
    <xf numFmtId="177" fontId="16" fillId="2" borderId="8" xfId="1" applyNumberFormat="1" applyFont="1" applyFill="1" applyBorder="1" applyAlignment="1">
      <alignment horizontal="center" vertical="center"/>
    </xf>
    <xf numFmtId="177" fontId="16" fillId="2" borderId="9" xfId="1" applyNumberFormat="1" applyFont="1" applyFill="1" applyBorder="1" applyAlignment="1">
      <alignment horizontal="center" vertical="center"/>
    </xf>
    <xf numFmtId="177" fontId="16" fillId="2" borderId="10" xfId="1" applyNumberFormat="1" applyFont="1" applyFill="1" applyBorder="1" applyAlignment="1">
      <alignment horizontal="center" vertical="center"/>
    </xf>
    <xf numFmtId="177" fontId="16" fillId="2" borderId="11" xfId="1" applyNumberFormat="1" applyFont="1" applyFill="1" applyBorder="1" applyAlignment="1">
      <alignment horizontal="center" vertical="center"/>
    </xf>
    <xf numFmtId="177" fontId="4" fillId="2" borderId="6" xfId="1" applyNumberFormat="1" applyFont="1" applyFill="1" applyBorder="1" applyAlignment="1">
      <alignment horizontal="center" vertical="center" wrapText="1"/>
    </xf>
    <xf numFmtId="177" fontId="4" fillId="2" borderId="7" xfId="1" applyNumberFormat="1" applyFont="1" applyFill="1" applyBorder="1" applyAlignment="1">
      <alignment horizontal="center" vertical="center"/>
    </xf>
    <xf numFmtId="177" fontId="4" fillId="2" borderId="8" xfId="1" applyNumberFormat="1" applyFont="1" applyFill="1" applyBorder="1" applyAlignment="1">
      <alignment horizontal="center" vertical="center"/>
    </xf>
    <xf numFmtId="177" fontId="4" fillId="2" borderId="9" xfId="1" applyNumberFormat="1" applyFont="1" applyFill="1" applyBorder="1" applyAlignment="1">
      <alignment horizontal="center" vertical="center"/>
    </xf>
    <xf numFmtId="177" fontId="4" fillId="2" borderId="10" xfId="1" applyNumberFormat="1" applyFont="1" applyFill="1" applyBorder="1" applyAlignment="1">
      <alignment horizontal="center" vertical="center"/>
    </xf>
    <xf numFmtId="177" fontId="4" fillId="2" borderId="11" xfId="1" applyNumberFormat="1" applyFont="1" applyFill="1" applyBorder="1" applyAlignment="1">
      <alignment horizontal="center" vertical="center"/>
    </xf>
    <xf numFmtId="178" fontId="27" fillId="2" borderId="6" xfId="1" applyNumberFormat="1" applyFont="1" applyFill="1" applyBorder="1" applyAlignment="1">
      <alignment horizontal="center" vertical="center"/>
    </xf>
    <xf numFmtId="178" fontId="27" fillId="2" borderId="7" xfId="1" applyNumberFormat="1" applyFont="1" applyFill="1" applyBorder="1" applyAlignment="1">
      <alignment horizontal="center" vertical="center"/>
    </xf>
    <xf numFmtId="178" fontId="27" fillId="2" borderId="8" xfId="1" applyNumberFormat="1" applyFont="1" applyFill="1" applyBorder="1" applyAlignment="1">
      <alignment horizontal="center" vertical="center"/>
    </xf>
    <xf numFmtId="178" fontId="27" fillId="2" borderId="9" xfId="1" applyNumberFormat="1" applyFont="1" applyFill="1" applyBorder="1" applyAlignment="1">
      <alignment horizontal="center" vertical="center"/>
    </xf>
    <xf numFmtId="178" fontId="27" fillId="2" borderId="10" xfId="1" applyNumberFormat="1" applyFont="1" applyFill="1" applyBorder="1" applyAlignment="1">
      <alignment horizontal="center" vertical="center"/>
    </xf>
    <xf numFmtId="178" fontId="27" fillId="2" borderId="11" xfId="1" applyNumberFormat="1" applyFont="1" applyFill="1" applyBorder="1" applyAlignment="1">
      <alignment horizontal="center" vertical="center"/>
    </xf>
    <xf numFmtId="42" fontId="9" fillId="2" borderId="6" xfId="1" applyNumberFormat="1" applyFont="1" applyFill="1" applyBorder="1" applyAlignment="1">
      <alignment horizontal="center" vertical="center"/>
    </xf>
    <xf numFmtId="42" fontId="9" fillId="2" borderId="7" xfId="1" applyNumberFormat="1" applyFont="1" applyFill="1" applyBorder="1" applyAlignment="1">
      <alignment horizontal="center" vertical="center"/>
    </xf>
    <xf numFmtId="42" fontId="9" fillId="2" borderId="8" xfId="1" applyNumberFormat="1" applyFont="1" applyFill="1" applyBorder="1" applyAlignment="1">
      <alignment horizontal="center" vertical="center"/>
    </xf>
    <xf numFmtId="42" fontId="9" fillId="2" borderId="9" xfId="1" applyNumberFormat="1" applyFont="1" applyFill="1" applyBorder="1" applyAlignment="1">
      <alignment horizontal="center" vertical="center"/>
    </xf>
    <xf numFmtId="42" fontId="9" fillId="2" borderId="10" xfId="1" applyNumberFormat="1" applyFont="1" applyFill="1" applyBorder="1" applyAlignment="1">
      <alignment horizontal="center" vertical="center"/>
    </xf>
    <xf numFmtId="42" fontId="9" fillId="2" borderId="11" xfId="1" applyNumberFormat="1" applyFont="1" applyFill="1" applyBorder="1" applyAlignment="1">
      <alignment horizontal="center" vertical="center"/>
    </xf>
    <xf numFmtId="177" fontId="4" fillId="2" borderId="6" xfId="1" applyNumberFormat="1" applyFont="1" applyFill="1" applyBorder="1" applyAlignment="1">
      <alignment horizontal="center" vertical="center"/>
    </xf>
    <xf numFmtId="178" fontId="4" fillId="2" borderId="6" xfId="1" applyNumberFormat="1" applyFont="1" applyFill="1" applyBorder="1" applyAlignment="1">
      <alignment horizontal="center" vertical="center"/>
    </xf>
    <xf numFmtId="178" fontId="4" fillId="2" borderId="7" xfId="1" applyNumberFormat="1" applyFont="1" applyFill="1" applyBorder="1" applyAlignment="1">
      <alignment horizontal="center" vertical="center"/>
    </xf>
    <xf numFmtId="178" fontId="4" fillId="2" borderId="8" xfId="1" applyNumberFormat="1" applyFont="1" applyFill="1" applyBorder="1" applyAlignment="1">
      <alignment horizontal="center" vertical="center"/>
    </xf>
    <xf numFmtId="178" fontId="4" fillId="2" borderId="9" xfId="1" applyNumberFormat="1" applyFont="1" applyFill="1" applyBorder="1" applyAlignment="1">
      <alignment horizontal="center" vertical="center"/>
    </xf>
    <xf numFmtId="178" fontId="4" fillId="2" borderId="10" xfId="1" applyNumberFormat="1" applyFont="1" applyFill="1" applyBorder="1" applyAlignment="1">
      <alignment horizontal="center" vertical="center"/>
    </xf>
    <xf numFmtId="178" fontId="4" fillId="2" borderId="11" xfId="1" applyNumberFormat="1" applyFont="1" applyFill="1" applyBorder="1" applyAlignment="1">
      <alignment horizontal="center" vertical="center"/>
    </xf>
    <xf numFmtId="42" fontId="4" fillId="2" borderId="6" xfId="2" applyNumberFormat="1" applyFont="1" applyFill="1" applyBorder="1" applyAlignment="1">
      <alignment horizontal="center" vertical="center"/>
    </xf>
    <xf numFmtId="42" fontId="4" fillId="2" borderId="7" xfId="2" applyNumberFormat="1" applyFont="1" applyFill="1" applyBorder="1" applyAlignment="1">
      <alignment horizontal="center" vertical="center"/>
    </xf>
    <xf numFmtId="42" fontId="4" fillId="2" borderId="8" xfId="2" applyNumberFormat="1" applyFont="1" applyFill="1" applyBorder="1" applyAlignment="1">
      <alignment horizontal="center" vertical="center"/>
    </xf>
    <xf numFmtId="42" fontId="4" fillId="2" borderId="9" xfId="2" applyNumberFormat="1" applyFont="1" applyFill="1" applyBorder="1" applyAlignment="1">
      <alignment horizontal="center" vertical="center"/>
    </xf>
    <xf numFmtId="42" fontId="4" fillId="2" borderId="10" xfId="2" applyNumberFormat="1" applyFont="1" applyFill="1" applyBorder="1" applyAlignment="1">
      <alignment horizontal="center" vertical="center"/>
    </xf>
    <xf numFmtId="42" fontId="4" fillId="2" borderId="11" xfId="2" applyNumberFormat="1" applyFont="1" applyFill="1" applyBorder="1" applyAlignment="1">
      <alignment horizontal="center" vertical="center"/>
    </xf>
    <xf numFmtId="0" fontId="17" fillId="5" borderId="7" xfId="1" applyFont="1" applyFill="1" applyBorder="1" applyAlignment="1">
      <alignment horizontal="center" vertical="center"/>
    </xf>
    <xf numFmtId="0" fontId="17" fillId="5" borderId="8" xfId="1" applyFont="1" applyFill="1" applyBorder="1" applyAlignment="1">
      <alignment horizontal="center" vertical="center"/>
    </xf>
    <xf numFmtId="0" fontId="17" fillId="5" borderId="0" xfId="1" applyFont="1" applyFill="1" applyAlignment="1">
      <alignment horizontal="center" vertical="center"/>
    </xf>
    <xf numFmtId="0" fontId="17" fillId="5" borderId="15" xfId="1" applyFont="1" applyFill="1" applyBorder="1" applyAlignment="1">
      <alignment horizontal="center" vertical="center"/>
    </xf>
    <xf numFmtId="42" fontId="21" fillId="2" borderId="20" xfId="1" applyNumberFormat="1" applyFont="1" applyFill="1" applyBorder="1" applyAlignment="1">
      <alignment horizontal="center" vertical="center"/>
    </xf>
    <xf numFmtId="42" fontId="21" fillId="2" borderId="21" xfId="1" applyNumberFormat="1" applyFont="1" applyFill="1" applyBorder="1" applyAlignment="1">
      <alignment horizontal="center" vertical="center"/>
    </xf>
    <xf numFmtId="42" fontId="21" fillId="2" borderId="23" xfId="1" applyNumberFormat="1" applyFont="1" applyFill="1" applyBorder="1" applyAlignment="1">
      <alignment horizontal="center" vertical="center"/>
    </xf>
    <xf numFmtId="42" fontId="21" fillId="2" borderId="24" xfId="1" applyNumberFormat="1" applyFont="1" applyFill="1" applyBorder="1" applyAlignment="1">
      <alignment horizontal="center" vertical="center"/>
    </xf>
    <xf numFmtId="0" fontId="20" fillId="2" borderId="17" xfId="1" applyFont="1" applyFill="1" applyBorder="1" applyAlignment="1">
      <alignment horizontal="center" vertical="center"/>
    </xf>
    <xf numFmtId="0" fontId="20" fillId="2" borderId="18" xfId="1" applyFont="1" applyFill="1" applyBorder="1" applyAlignment="1">
      <alignment horizontal="center" vertical="center"/>
    </xf>
    <xf numFmtId="0" fontId="20" fillId="2" borderId="19" xfId="1" applyFont="1" applyFill="1" applyBorder="1" applyAlignment="1">
      <alignment horizontal="center" vertical="center"/>
    </xf>
    <xf numFmtId="42" fontId="21" fillId="2" borderId="22" xfId="1" applyNumberFormat="1" applyFont="1" applyFill="1" applyBorder="1" applyAlignment="1">
      <alignment horizontal="center" vertical="center"/>
    </xf>
    <xf numFmtId="9" fontId="23" fillId="11" borderId="29" xfId="3" applyFont="1" applyFill="1" applyBorder="1" applyAlignment="1">
      <alignment horizontal="center" vertical="center"/>
    </xf>
    <xf numFmtId="9" fontId="23" fillId="11" borderId="30" xfId="3" applyFont="1" applyFill="1" applyBorder="1" applyAlignment="1">
      <alignment horizontal="center" vertical="center"/>
    </xf>
    <xf numFmtId="0" fontId="18" fillId="0" borderId="0" xfId="1" applyFont="1" applyAlignment="1">
      <alignment horizontal="center" vertical="center" wrapText="1"/>
    </xf>
    <xf numFmtId="0" fontId="18" fillId="0" borderId="0" xfId="1" applyFont="1" applyAlignment="1">
      <alignment horizontal="center" vertical="center"/>
    </xf>
    <xf numFmtId="179" fontId="24" fillId="0" borderId="28" xfId="1" applyNumberFormat="1" applyFont="1" applyBorder="1" applyAlignment="1">
      <alignment horizontal="center" vertical="center"/>
    </xf>
    <xf numFmtId="0" fontId="24" fillId="0" borderId="29" xfId="1" applyFont="1" applyBorder="1" applyAlignment="1">
      <alignment horizontal="center" vertical="center"/>
    </xf>
    <xf numFmtId="0" fontId="24" fillId="0" borderId="28" xfId="1" applyFont="1" applyBorder="1" applyAlignment="1">
      <alignment horizontal="center" vertical="center"/>
    </xf>
    <xf numFmtId="0" fontId="24" fillId="0" borderId="32" xfId="1" applyFont="1" applyBorder="1" applyAlignment="1">
      <alignment horizontal="center" vertical="center"/>
    </xf>
    <xf numFmtId="0" fontId="24" fillId="0" borderId="33" xfId="1" applyFont="1" applyBorder="1" applyAlignment="1">
      <alignment horizontal="center" vertical="center"/>
    </xf>
    <xf numFmtId="179" fontId="24" fillId="0" borderId="29" xfId="1" applyNumberFormat="1" applyFont="1" applyBorder="1" applyAlignment="1">
      <alignment horizontal="center" vertical="center"/>
    </xf>
    <xf numFmtId="0" fontId="24" fillId="0" borderId="30" xfId="1" applyFont="1" applyBorder="1" applyAlignment="1">
      <alignment horizontal="center" vertical="center"/>
    </xf>
    <xf numFmtId="0" fontId="24" fillId="0" borderId="34" xfId="1" applyFont="1" applyBorder="1" applyAlignment="1">
      <alignment horizontal="center" vertical="center"/>
    </xf>
    <xf numFmtId="0" fontId="20" fillId="6" borderId="17" xfId="1" applyFont="1" applyFill="1" applyBorder="1" applyAlignment="1">
      <alignment horizontal="center" vertical="center"/>
    </xf>
    <xf numFmtId="0" fontId="20" fillId="6" borderId="18" xfId="1" applyFont="1" applyFill="1" applyBorder="1" applyAlignment="1">
      <alignment horizontal="center" vertical="center"/>
    </xf>
    <xf numFmtId="0" fontId="15" fillId="6" borderId="2" xfId="1" quotePrefix="1" applyFont="1" applyFill="1" applyBorder="1" applyAlignment="1">
      <alignment horizontal="center" vertical="center"/>
    </xf>
    <xf numFmtId="0" fontId="15" fillId="6" borderId="3" xfId="1" quotePrefix="1" applyFont="1" applyFill="1" applyBorder="1" applyAlignment="1">
      <alignment horizontal="center" vertical="center"/>
    </xf>
    <xf numFmtId="0" fontId="22" fillId="7" borderId="25" xfId="1" applyFont="1" applyFill="1" applyBorder="1" applyAlignment="1">
      <alignment horizontal="center" vertical="center"/>
    </xf>
    <xf numFmtId="0" fontId="22" fillId="7" borderId="26" xfId="1" applyFont="1" applyFill="1" applyBorder="1" applyAlignment="1">
      <alignment horizontal="center" vertical="center"/>
    </xf>
    <xf numFmtId="0" fontId="22" fillId="7" borderId="27" xfId="1" applyFont="1" applyFill="1" applyBorder="1" applyAlignment="1">
      <alignment horizontal="center" vertical="center"/>
    </xf>
    <xf numFmtId="0" fontId="9" fillId="8" borderId="28" xfId="1" applyFont="1" applyFill="1" applyBorder="1" applyAlignment="1">
      <alignment horizontal="center" vertical="center"/>
    </xf>
    <xf numFmtId="0" fontId="9" fillId="8" borderId="29" xfId="1" applyFont="1" applyFill="1" applyBorder="1" applyAlignment="1">
      <alignment horizontal="center" vertical="center"/>
    </xf>
    <xf numFmtId="0" fontId="9" fillId="8" borderId="30" xfId="1" applyFont="1" applyFill="1" applyBorder="1" applyAlignment="1">
      <alignment horizontal="center" vertical="center"/>
    </xf>
    <xf numFmtId="42" fontId="21" fillId="0" borderId="20" xfId="1" applyNumberFormat="1" applyFont="1" applyBorder="1" applyAlignment="1">
      <alignment horizontal="center" vertical="center"/>
    </xf>
    <xf numFmtId="42" fontId="21" fillId="0" borderId="21" xfId="1" applyNumberFormat="1" applyFont="1" applyBorder="1" applyAlignment="1">
      <alignment horizontal="center" vertical="center"/>
    </xf>
    <xf numFmtId="42" fontId="21" fillId="0" borderId="23" xfId="1" applyNumberFormat="1" applyFont="1" applyBorder="1" applyAlignment="1">
      <alignment horizontal="center" vertical="center"/>
    </xf>
    <xf numFmtId="42" fontId="21" fillId="0" borderId="24" xfId="1" applyNumberFormat="1" applyFont="1" applyBorder="1" applyAlignment="1">
      <alignment horizontal="center" vertical="center"/>
    </xf>
    <xf numFmtId="42" fontId="21" fillId="2" borderId="20" xfId="1" applyNumberFormat="1" applyFont="1" applyFill="1" applyBorder="1" applyAlignment="1">
      <alignment horizontal="right" vertical="center"/>
    </xf>
    <xf numFmtId="42" fontId="21" fillId="2" borderId="21" xfId="1" applyNumberFormat="1" applyFont="1" applyFill="1" applyBorder="1" applyAlignment="1">
      <alignment horizontal="right" vertical="center"/>
    </xf>
    <xf numFmtId="42" fontId="21" fillId="2" borderId="22" xfId="1" applyNumberFormat="1" applyFont="1" applyFill="1" applyBorder="1" applyAlignment="1">
      <alignment horizontal="right" vertical="center"/>
    </xf>
    <xf numFmtId="42" fontId="21" fillId="2" borderId="23" xfId="1" applyNumberFormat="1" applyFont="1" applyFill="1" applyBorder="1" applyAlignment="1">
      <alignment horizontal="right" vertical="center"/>
    </xf>
    <xf numFmtId="42" fontId="21" fillId="2" borderId="24" xfId="1" applyNumberFormat="1" applyFont="1" applyFill="1" applyBorder="1" applyAlignment="1">
      <alignment horizontal="right" vertical="center"/>
    </xf>
    <xf numFmtId="42" fontId="21" fillId="2" borderId="31" xfId="1" applyNumberFormat="1" applyFont="1" applyFill="1" applyBorder="1" applyAlignment="1">
      <alignment horizontal="right" vertical="center"/>
    </xf>
    <xf numFmtId="9" fontId="23" fillId="9" borderId="28" xfId="3" applyFont="1" applyFill="1" applyBorder="1" applyAlignment="1">
      <alignment horizontal="center" vertical="center"/>
    </xf>
    <xf numFmtId="9" fontId="23" fillId="9" borderId="29" xfId="3" applyFont="1" applyFill="1" applyBorder="1" applyAlignment="1">
      <alignment horizontal="center" vertical="center"/>
    </xf>
    <xf numFmtId="9" fontId="23" fillId="10" borderId="29" xfId="3" applyFont="1" applyFill="1" applyBorder="1" applyAlignment="1">
      <alignment horizontal="center" vertical="center"/>
    </xf>
    <xf numFmtId="179" fontId="21" fillId="2" borderId="20" xfId="1" applyNumberFormat="1" applyFont="1" applyFill="1" applyBorder="1" applyAlignment="1">
      <alignment horizontal="center" vertical="center"/>
    </xf>
    <xf numFmtId="179" fontId="21" fillId="2" borderId="21" xfId="1" applyNumberFormat="1" applyFont="1" applyFill="1" applyBorder="1" applyAlignment="1">
      <alignment horizontal="center" vertical="center"/>
    </xf>
    <xf numFmtId="179" fontId="21" fillId="2" borderId="22" xfId="1" applyNumberFormat="1" applyFont="1" applyFill="1" applyBorder="1" applyAlignment="1">
      <alignment horizontal="center" vertical="center"/>
    </xf>
    <xf numFmtId="179" fontId="21" fillId="2" borderId="23" xfId="1" applyNumberFormat="1" applyFont="1" applyFill="1" applyBorder="1" applyAlignment="1">
      <alignment horizontal="center" vertical="center"/>
    </xf>
    <xf numFmtId="179" fontId="21" fillId="2" borderId="24" xfId="1" applyNumberFormat="1" applyFont="1" applyFill="1" applyBorder="1" applyAlignment="1">
      <alignment horizontal="center" vertical="center"/>
    </xf>
    <xf numFmtId="179" fontId="21" fillId="2" borderId="31" xfId="1" applyNumberFormat="1" applyFont="1" applyFill="1" applyBorder="1" applyAlignment="1">
      <alignment horizontal="center" vertical="center"/>
    </xf>
    <xf numFmtId="0" fontId="25" fillId="0" borderId="0" xfId="1" applyFont="1" applyAlignment="1">
      <alignment horizontal="center" vertical="center" wrapText="1"/>
    </xf>
    <xf numFmtId="0" fontId="25" fillId="0" borderId="0" xfId="1" applyFont="1" applyAlignment="1">
      <alignment horizontal="center" vertical="center"/>
    </xf>
    <xf numFmtId="10" fontId="21" fillId="2" borderId="20" xfId="3" applyNumberFormat="1" applyFont="1" applyFill="1" applyBorder="1" applyAlignment="1">
      <alignment horizontal="center" vertical="center"/>
    </xf>
    <xf numFmtId="10" fontId="21" fillId="2" borderId="21" xfId="3" applyNumberFormat="1" applyFont="1" applyFill="1" applyBorder="1" applyAlignment="1">
      <alignment horizontal="center" vertical="center"/>
    </xf>
    <xf numFmtId="10" fontId="21" fillId="2" borderId="23" xfId="3" applyNumberFormat="1" applyFont="1" applyFill="1" applyBorder="1" applyAlignment="1">
      <alignment horizontal="center" vertical="center"/>
    </xf>
    <xf numFmtId="10" fontId="21" fillId="2" borderId="24" xfId="3" applyNumberFormat="1" applyFont="1" applyFill="1" applyBorder="1" applyAlignment="1">
      <alignment horizontal="center" vertical="center"/>
    </xf>
    <xf numFmtId="0" fontId="5" fillId="0" borderId="0" xfId="1" applyFont="1" applyAlignment="1">
      <alignment horizontal="left"/>
    </xf>
    <xf numFmtId="0" fontId="11" fillId="0" borderId="35" xfId="1" applyFont="1" applyBorder="1" applyAlignment="1">
      <alignment horizontal="left" vertical="top" wrapText="1"/>
    </xf>
    <xf numFmtId="0" fontId="11" fillId="0" borderId="36" xfId="1" applyFont="1" applyBorder="1" applyAlignment="1">
      <alignment horizontal="left" vertical="top"/>
    </xf>
    <xf numFmtId="0" fontId="11" fillId="0" borderId="37" xfId="1" applyFont="1" applyBorder="1" applyAlignment="1">
      <alignment horizontal="left" vertical="top"/>
    </xf>
    <xf numFmtId="0" fontId="11" fillId="0" borderId="38" xfId="1" applyFont="1" applyBorder="1" applyAlignment="1">
      <alignment horizontal="left" vertical="top"/>
    </xf>
    <xf numFmtId="0" fontId="11" fillId="0" borderId="0" xfId="1" applyFont="1" applyAlignment="1">
      <alignment horizontal="left" vertical="top"/>
    </xf>
    <xf numFmtId="0" fontId="11" fillId="0" borderId="39" xfId="1" applyFont="1" applyBorder="1" applyAlignment="1">
      <alignment horizontal="left" vertical="top"/>
    </xf>
    <xf numFmtId="0" fontId="11" fillId="0" borderId="40" xfId="1" applyFont="1" applyBorder="1" applyAlignment="1">
      <alignment horizontal="left" vertical="top"/>
    </xf>
    <xf numFmtId="0" fontId="11" fillId="0" borderId="1" xfId="1" applyFont="1" applyBorder="1" applyAlignment="1">
      <alignment horizontal="left" vertical="top"/>
    </xf>
    <xf numFmtId="0" fontId="11" fillId="0" borderId="41" xfId="1" applyFont="1" applyBorder="1" applyAlignment="1">
      <alignment horizontal="left" vertical="top"/>
    </xf>
    <xf numFmtId="0" fontId="17" fillId="5" borderId="6" xfId="1" applyFont="1" applyFill="1" applyBorder="1" applyAlignment="1">
      <alignment horizontal="center" vertical="center"/>
    </xf>
    <xf numFmtId="0" fontId="17" fillId="5" borderId="14" xfId="1" applyFont="1" applyFill="1" applyBorder="1" applyAlignment="1">
      <alignment horizontal="center" vertical="center"/>
    </xf>
    <xf numFmtId="42" fontId="18" fillId="2" borderId="6" xfId="2" applyNumberFormat="1" applyFont="1" applyFill="1" applyBorder="1" applyAlignment="1">
      <alignment horizontal="center" vertical="center"/>
    </xf>
    <xf numFmtId="42" fontId="18" fillId="2" borderId="7" xfId="2" applyNumberFormat="1" applyFont="1" applyFill="1" applyBorder="1" applyAlignment="1">
      <alignment horizontal="center" vertical="center"/>
    </xf>
    <xf numFmtId="42" fontId="18" fillId="2" borderId="8" xfId="2" applyNumberFormat="1" applyFont="1" applyFill="1" applyBorder="1" applyAlignment="1">
      <alignment horizontal="center" vertical="center"/>
    </xf>
    <xf numFmtId="42" fontId="18" fillId="2" borderId="9" xfId="2" applyNumberFormat="1" applyFont="1" applyFill="1" applyBorder="1" applyAlignment="1">
      <alignment horizontal="center" vertical="center"/>
    </xf>
    <xf numFmtId="42" fontId="18" fillId="2" borderId="10" xfId="2" applyNumberFormat="1" applyFont="1" applyFill="1" applyBorder="1" applyAlignment="1">
      <alignment horizontal="center" vertical="center"/>
    </xf>
    <xf numFmtId="42" fontId="18" fillId="2" borderId="11" xfId="2" applyNumberFormat="1" applyFont="1" applyFill="1" applyBorder="1" applyAlignment="1">
      <alignment horizontal="center" vertical="center"/>
    </xf>
  </cellXfs>
  <cellStyles count="4">
    <cellStyle name="パーセント 2" xfId="3" xr:uid="{296444F6-6574-4EC3-B3B3-3ED04B2BF189}"/>
    <cellStyle name="桁区切り 3" xfId="2" xr:uid="{9D9EE246-8073-4411-AB38-BE85323828B7}"/>
    <cellStyle name="標準" xfId="0" builtinId="0"/>
    <cellStyle name="標準 3" xfId="1" xr:uid="{9626050E-BA22-4A72-AFAC-2E18679375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103</xdr:col>
      <xdr:colOff>0</xdr:colOff>
      <xdr:row>10</xdr:row>
      <xdr:rowOff>0</xdr:rowOff>
    </xdr:from>
    <xdr:ext cx="304800" cy="344705"/>
    <xdr:sp macro="" textlink="">
      <xdr:nvSpPr>
        <xdr:cNvPr id="2" name="AutoShape 2" descr="「京セラ」の画像検索結果">
          <a:extLst>
            <a:ext uri="{FF2B5EF4-FFF2-40B4-BE49-F238E27FC236}">
              <a16:creationId xmlns:a16="http://schemas.microsoft.com/office/drawing/2014/main" id="{C5F6C9C6-370F-4172-A308-49C5CB90FE8E}"/>
            </a:ext>
          </a:extLst>
        </xdr:cNvPr>
        <xdr:cNvSpPr>
          <a:spLocks noChangeAspect="1" noChangeArrowheads="1"/>
        </xdr:cNvSpPr>
      </xdr:nvSpPr>
      <xdr:spPr bwMode="auto">
        <a:xfrm>
          <a:off x="34213800" y="2225040"/>
          <a:ext cx="304800" cy="34470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90</xdr:col>
      <xdr:colOff>163285</xdr:colOff>
      <xdr:row>0</xdr:row>
      <xdr:rowOff>176893</xdr:rowOff>
    </xdr:from>
    <xdr:to>
      <xdr:col>98</xdr:col>
      <xdr:colOff>264159</xdr:colOff>
      <xdr:row>5</xdr:row>
      <xdr:rowOff>130356</xdr:rowOff>
    </xdr:to>
    <xdr:pic>
      <xdr:nvPicPr>
        <xdr:cNvPr id="3" name="図 2">
          <a:extLst>
            <a:ext uri="{FF2B5EF4-FFF2-40B4-BE49-F238E27FC236}">
              <a16:creationId xmlns:a16="http://schemas.microsoft.com/office/drawing/2014/main" id="{EB76CF0C-CBFB-4FE6-9ACC-B0007138F60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183" t="40577" r="20975" b="36849"/>
        <a:stretch/>
      </xdr:blipFill>
      <xdr:spPr>
        <a:xfrm>
          <a:off x="30391825" y="176893"/>
          <a:ext cx="2722154" cy="1111703"/>
        </a:xfrm>
        <a:prstGeom prst="rect">
          <a:avLst/>
        </a:prstGeom>
      </xdr:spPr>
    </xdr:pic>
    <xdr:clientData/>
  </xdr:twoCellAnchor>
  <xdr:twoCellAnchor>
    <xdr:from>
      <xdr:col>52</xdr:col>
      <xdr:colOff>269874</xdr:colOff>
      <xdr:row>18</xdr:row>
      <xdr:rowOff>254000</xdr:rowOff>
    </xdr:from>
    <xdr:to>
      <xdr:col>57</xdr:col>
      <xdr:colOff>7937</xdr:colOff>
      <xdr:row>23</xdr:row>
      <xdr:rowOff>79375</xdr:rowOff>
    </xdr:to>
    <xdr:sp macro="" textlink="">
      <xdr:nvSpPr>
        <xdr:cNvPr id="7" name="矢印: 右 6">
          <a:extLst>
            <a:ext uri="{FF2B5EF4-FFF2-40B4-BE49-F238E27FC236}">
              <a16:creationId xmlns:a16="http://schemas.microsoft.com/office/drawing/2014/main" id="{115E13A5-3F4F-4A67-A37F-049BC9D07A7F}"/>
            </a:ext>
          </a:extLst>
        </xdr:cNvPr>
        <xdr:cNvSpPr/>
      </xdr:nvSpPr>
      <xdr:spPr>
        <a:xfrm>
          <a:off x="18335624" y="5619750"/>
          <a:ext cx="1404938" cy="1412875"/>
        </a:xfrm>
        <a:prstGeom prst="rightArrow">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32E94-935B-49BC-B703-79A7AFE36C6E}">
  <sheetPr>
    <pageSetUpPr fitToPage="1"/>
  </sheetPr>
  <dimension ref="A1:EL77"/>
  <sheetViews>
    <sheetView showGridLines="0" tabSelected="1" view="pageBreakPreview" topLeftCell="A11" zoomScale="70" zoomScaleNormal="40" zoomScaleSheetLayoutView="70" workbookViewId="0">
      <pane xSplit="9" topLeftCell="AW1" activePane="topRight" state="frozen"/>
      <selection pane="topRight" activeCell="CO34" sqref="CO34"/>
    </sheetView>
  </sheetViews>
  <sheetFormatPr defaultColWidth="8.08203125" defaultRowHeight="15" x14ac:dyDescent="0.55000000000000004"/>
  <cols>
    <col min="1" max="1" width="8" style="4" customWidth="1"/>
    <col min="2" max="24" width="4.33203125" style="4" customWidth="1"/>
    <col min="25" max="25" width="10.33203125" style="4" customWidth="1"/>
    <col min="26" max="45" width="4.33203125" style="4" customWidth="1"/>
    <col min="46" max="51" width="4.33203125" style="20" customWidth="1"/>
    <col min="52" max="59" width="4.33203125" style="14" customWidth="1"/>
    <col min="60" max="69" width="4.33203125" style="4" customWidth="1"/>
    <col min="70" max="70" width="5.33203125" style="4" customWidth="1"/>
    <col min="71" max="101" width="4.33203125" style="4" customWidth="1"/>
    <col min="102" max="103" width="2.5" style="4" customWidth="1"/>
    <col min="104" max="16384" width="8.08203125" style="4"/>
  </cols>
  <sheetData>
    <row r="1" spans="1:104" ht="24" customHeight="1" x14ac:dyDescent="0.55000000000000004">
      <c r="A1" s="1"/>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48">
        <f ca="1">TODAY()</f>
        <v>46162</v>
      </c>
      <c r="CW1" s="48"/>
      <c r="CX1" s="48"/>
      <c r="CY1" s="48"/>
    </row>
    <row r="2" spans="1:104" ht="17.149999999999999" customHeight="1" x14ac:dyDescent="0.55000000000000004">
      <c r="A2" s="1"/>
      <c r="B2" s="1"/>
      <c r="C2" s="1"/>
      <c r="D2" s="1"/>
      <c r="E2" s="1"/>
      <c r="F2" s="1"/>
      <c r="G2" s="1"/>
      <c r="H2" s="1"/>
      <c r="I2" s="1"/>
      <c r="J2" s="1"/>
      <c r="K2" s="1"/>
      <c r="L2" s="1"/>
      <c r="M2" s="1"/>
      <c r="N2" s="1"/>
      <c r="O2" s="1"/>
      <c r="P2" s="1"/>
      <c r="Q2" s="1"/>
      <c r="R2" s="1"/>
      <c r="S2" s="1"/>
      <c r="T2" s="1"/>
      <c r="U2" s="1"/>
      <c r="V2" s="1"/>
      <c r="W2" s="1"/>
      <c r="X2" s="1"/>
      <c r="Y2" s="1"/>
      <c r="Z2" s="1"/>
      <c r="AA2" s="1"/>
      <c r="AB2" s="1"/>
      <c r="AC2" s="1"/>
      <c r="AD2" s="5"/>
      <c r="AE2" s="1"/>
      <c r="AF2" s="1"/>
      <c r="AG2" s="1"/>
      <c r="AH2" s="1"/>
      <c r="AI2" s="5"/>
      <c r="AJ2" s="1"/>
      <c r="AK2" s="1"/>
      <c r="AL2" s="1"/>
      <c r="AM2" s="1"/>
      <c r="AN2" s="5"/>
      <c r="AO2" s="1"/>
      <c r="AP2" s="1"/>
      <c r="AR2" s="6"/>
      <c r="AS2" s="6"/>
      <c r="AT2" s="6"/>
      <c r="AU2" s="6"/>
      <c r="AV2" s="6"/>
      <c r="AW2" s="6"/>
      <c r="AX2" s="6"/>
      <c r="AY2" s="6"/>
      <c r="AZ2" s="6"/>
      <c r="BA2" s="6"/>
      <c r="BB2" s="6"/>
      <c r="BC2" s="6"/>
      <c r="BD2" s="6"/>
      <c r="BE2" s="6"/>
      <c r="BF2" s="6"/>
      <c r="BG2" s="6"/>
      <c r="BH2" s="6"/>
      <c r="BI2" s="6"/>
      <c r="BJ2" s="6"/>
      <c r="BK2" s="6"/>
      <c r="BL2" s="6"/>
      <c r="BM2" s="6"/>
      <c r="BN2" s="6"/>
      <c r="BO2" s="6"/>
      <c r="BP2" s="6"/>
      <c r="BQ2" s="6"/>
      <c r="BR2" s="6"/>
      <c r="BS2" s="1"/>
      <c r="BT2" s="1"/>
      <c r="BU2" s="1"/>
      <c r="BV2" s="1"/>
      <c r="BW2" s="1"/>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1"/>
      <c r="CX2" s="1"/>
    </row>
    <row r="3" spans="1:104" ht="17.149999999999999" customHeight="1" x14ac:dyDescent="0.550000000000000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50" t="s">
        <v>0</v>
      </c>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6"/>
      <c r="BM3" s="6"/>
      <c r="BN3" s="6"/>
      <c r="BO3" s="6"/>
      <c r="BP3" s="6"/>
      <c r="BQ3" s="6"/>
      <c r="BR3" s="6"/>
      <c r="BS3" s="1"/>
      <c r="BT3" s="1"/>
      <c r="BU3" s="1"/>
      <c r="BV3" s="1"/>
      <c r="BW3" s="1"/>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1"/>
      <c r="CX3" s="1"/>
    </row>
    <row r="4" spans="1:104" ht="17.149999999999999" customHeight="1" x14ac:dyDescent="0.5500000000000000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6"/>
      <c r="BM4" s="6"/>
      <c r="BN4" s="6"/>
      <c r="BO4" s="6"/>
      <c r="BP4" s="6"/>
      <c r="BQ4" s="6"/>
      <c r="BR4" s="6"/>
      <c r="BS4" s="1"/>
      <c r="BT4" s="1"/>
      <c r="BU4" s="1"/>
      <c r="BV4" s="1"/>
      <c r="BW4" s="1"/>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1"/>
      <c r="CX4" s="1"/>
    </row>
    <row r="5" spans="1:104" ht="17.149999999999999" customHeight="1" x14ac:dyDescent="0.55000000000000004">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6"/>
      <c r="BM5" s="6"/>
      <c r="BN5" s="6"/>
      <c r="BO5" s="6"/>
      <c r="BP5" s="6"/>
      <c r="BQ5" s="6"/>
      <c r="BR5" s="6"/>
      <c r="BS5" s="1"/>
      <c r="BT5" s="1"/>
      <c r="BU5" s="1"/>
      <c r="BV5" s="1"/>
      <c r="BW5" s="1"/>
      <c r="BX5" s="45"/>
      <c r="BY5" s="45"/>
      <c r="BZ5" s="45"/>
      <c r="CA5" s="45"/>
      <c r="CB5" s="45"/>
      <c r="CC5" s="45"/>
      <c r="CD5" s="45"/>
      <c r="CE5" s="45"/>
      <c r="CF5" s="45"/>
      <c r="CG5" s="45"/>
      <c r="CH5" s="45"/>
      <c r="CI5" s="45"/>
      <c r="CJ5" s="45"/>
      <c r="CK5" s="45"/>
      <c r="CL5" s="45"/>
      <c r="CM5" s="45"/>
      <c r="CN5" s="45"/>
      <c r="CO5" s="45"/>
      <c r="CP5" s="45"/>
      <c r="CQ5" s="45"/>
      <c r="CR5" s="45"/>
      <c r="CS5" s="45"/>
      <c r="CT5" s="45"/>
      <c r="CU5" s="45"/>
      <c r="CV5" s="45"/>
      <c r="CW5" s="1"/>
      <c r="CX5" s="1"/>
    </row>
    <row r="6" spans="1:104" ht="17.149999999999999" customHeight="1" x14ac:dyDescent="0.55000000000000004">
      <c r="A6" s="1"/>
      <c r="B6" s="43" t="s">
        <v>39</v>
      </c>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1"/>
      <c r="AE6" s="1"/>
      <c r="AF6" s="1"/>
      <c r="AG6" s="1"/>
      <c r="AH6" s="1"/>
      <c r="AI6" s="1"/>
      <c r="AJ6" s="1"/>
      <c r="AK6" s="1"/>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6"/>
      <c r="BM6" s="6"/>
      <c r="BN6" s="6"/>
      <c r="BO6" s="6"/>
      <c r="BP6" s="6"/>
      <c r="BQ6" s="6"/>
      <c r="BR6" s="6"/>
      <c r="BS6" s="1"/>
      <c r="BT6" s="1"/>
      <c r="BU6" s="1"/>
      <c r="BV6" s="1"/>
      <c r="BW6" s="1"/>
      <c r="BX6" s="45" t="s">
        <v>1</v>
      </c>
      <c r="BY6" s="45"/>
      <c r="BZ6" s="45"/>
      <c r="CA6" s="45"/>
      <c r="CB6" s="45"/>
      <c r="CC6" s="45"/>
      <c r="CD6" s="45"/>
      <c r="CE6" s="45"/>
      <c r="CF6" s="45"/>
      <c r="CG6" s="45"/>
      <c r="CH6" s="45"/>
      <c r="CI6" s="45"/>
      <c r="CJ6" s="45"/>
      <c r="CK6" s="45"/>
      <c r="CL6" s="45"/>
      <c r="CM6" s="45"/>
      <c r="CN6" s="45"/>
      <c r="CO6" s="45"/>
      <c r="CP6" s="45"/>
      <c r="CQ6" s="45"/>
      <c r="CR6" s="45"/>
      <c r="CS6" s="45"/>
      <c r="CT6" s="45"/>
      <c r="CU6" s="45"/>
      <c r="CV6" s="45"/>
      <c r="CW6" s="1"/>
      <c r="CX6" s="1"/>
    </row>
    <row r="7" spans="1:104" ht="17.149999999999999" customHeight="1" x14ac:dyDescent="0.55000000000000004">
      <c r="A7" s="1"/>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1"/>
      <c r="AE7" s="1"/>
      <c r="AF7" s="1"/>
      <c r="AG7" s="1"/>
      <c r="AH7" s="1"/>
      <c r="AI7" s="1"/>
      <c r="AJ7" s="1"/>
      <c r="AK7" s="1"/>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1"/>
      <c r="BM7" s="1"/>
      <c r="BN7" s="1"/>
      <c r="BO7" s="1"/>
      <c r="BP7" s="1"/>
      <c r="BQ7" s="1"/>
      <c r="BR7" s="1"/>
      <c r="BS7" s="1"/>
      <c r="BT7" s="1"/>
      <c r="BU7" s="1"/>
      <c r="BV7" s="1"/>
      <c r="BW7" s="1"/>
      <c r="BX7" s="45" t="s">
        <v>2</v>
      </c>
      <c r="BY7" s="45"/>
      <c r="BZ7" s="45"/>
      <c r="CA7" s="45"/>
      <c r="CB7" s="45"/>
      <c r="CC7" s="45"/>
      <c r="CD7" s="45"/>
      <c r="CE7" s="45"/>
      <c r="CF7" s="45"/>
      <c r="CG7" s="45"/>
      <c r="CH7" s="45"/>
      <c r="CI7" s="45"/>
      <c r="CJ7" s="45"/>
      <c r="CK7" s="45"/>
      <c r="CL7" s="45"/>
      <c r="CM7" s="45"/>
      <c r="CN7" s="45"/>
      <c r="CO7" s="45"/>
      <c r="CP7" s="45"/>
      <c r="CQ7" s="45"/>
      <c r="CR7" s="45"/>
      <c r="CS7" s="45"/>
      <c r="CT7" s="45"/>
      <c r="CU7" s="45"/>
      <c r="CV7" s="45"/>
      <c r="CW7" s="1"/>
      <c r="CX7" s="1"/>
    </row>
    <row r="8" spans="1:104" ht="17.149999999999999" customHeight="1" x14ac:dyDescent="0.55000000000000004">
      <c r="A8" s="1"/>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1"/>
      <c r="AE8" s="1"/>
      <c r="AF8" s="1"/>
      <c r="AG8" s="1"/>
      <c r="AH8" s="1"/>
      <c r="AI8" s="1"/>
      <c r="AJ8" s="1"/>
      <c r="AK8" s="1"/>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1"/>
      <c r="BM8" s="1"/>
      <c r="BN8" s="1"/>
      <c r="BO8" s="1"/>
      <c r="BP8" s="1"/>
      <c r="BQ8" s="1"/>
      <c r="BR8" s="1"/>
      <c r="BS8" s="1"/>
      <c r="BT8" s="1"/>
      <c r="BU8" s="1"/>
      <c r="BV8" s="1"/>
      <c r="BW8" s="1"/>
      <c r="BX8" s="45" t="s">
        <v>3</v>
      </c>
      <c r="BY8" s="45"/>
      <c r="BZ8" s="45"/>
      <c r="CA8" s="45"/>
      <c r="CB8" s="45"/>
      <c r="CC8" s="45"/>
      <c r="CD8" s="45"/>
      <c r="CE8" s="45"/>
      <c r="CF8" s="45"/>
      <c r="CG8" s="45"/>
      <c r="CH8" s="45"/>
      <c r="CI8" s="45"/>
      <c r="CJ8" s="45"/>
      <c r="CK8" s="45"/>
      <c r="CL8" s="45"/>
      <c r="CM8" s="45"/>
      <c r="CN8" s="45"/>
      <c r="CO8" s="45"/>
      <c r="CP8" s="45"/>
      <c r="CQ8" s="45"/>
      <c r="CR8" s="45"/>
      <c r="CS8" s="45"/>
      <c r="CT8" s="45"/>
      <c r="CU8" s="45"/>
      <c r="CV8" s="45"/>
      <c r="CW8" s="1"/>
      <c r="CX8" s="1"/>
    </row>
    <row r="9" spans="1:104" ht="17.149999999999999" customHeight="1" thickBot="1" x14ac:dyDescent="0.6">
      <c r="A9" s="1"/>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1"/>
      <c r="AE9" s="1"/>
      <c r="AF9" s="1"/>
      <c r="AG9" s="1"/>
      <c r="AH9" s="1"/>
      <c r="AI9" s="1"/>
      <c r="AJ9" s="1"/>
      <c r="AK9" s="1"/>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1"/>
      <c r="BM9" s="1"/>
      <c r="BN9" s="1"/>
      <c r="BO9" s="1"/>
      <c r="BP9" s="1"/>
      <c r="BQ9" s="1"/>
      <c r="BR9" s="1"/>
      <c r="BS9" s="1"/>
      <c r="BT9" s="1"/>
      <c r="BU9" s="1"/>
      <c r="BV9" s="1"/>
      <c r="BW9" s="1"/>
      <c r="BX9" s="46" t="s">
        <v>4</v>
      </c>
      <c r="BY9" s="46"/>
      <c r="BZ9" s="46"/>
      <c r="CA9" s="46"/>
      <c r="CB9" s="46"/>
      <c r="CC9" s="46"/>
      <c r="CD9" s="46"/>
      <c r="CE9" s="46"/>
      <c r="CF9" s="46"/>
      <c r="CG9" s="46"/>
      <c r="CH9" s="46"/>
      <c r="CI9" s="46"/>
      <c r="CJ9" s="46"/>
      <c r="CK9" s="46"/>
      <c r="CL9" s="46"/>
      <c r="CM9" s="46"/>
      <c r="CN9" s="46"/>
      <c r="CO9" s="46"/>
      <c r="CP9" s="46"/>
      <c r="CQ9" s="46"/>
      <c r="CR9" s="46"/>
      <c r="CS9" s="46"/>
      <c r="CT9" s="46"/>
      <c r="CU9" s="46"/>
      <c r="CV9" s="46"/>
      <c r="CW9" s="1"/>
      <c r="CX9" s="1"/>
    </row>
    <row r="10" spans="1:104" ht="17.149999999999999" customHeight="1" x14ac:dyDescent="0.55000000000000004">
      <c r="A10" s="1"/>
      <c r="B10" s="7"/>
      <c r="C10" s="7"/>
      <c r="D10" s="7"/>
      <c r="E10" s="7"/>
      <c r="F10" s="7"/>
      <c r="G10" s="7"/>
      <c r="H10" s="7"/>
      <c r="I10" s="7"/>
      <c r="J10" s="7"/>
      <c r="K10" s="7"/>
      <c r="L10" s="7"/>
      <c r="M10" s="7"/>
      <c r="N10" s="7"/>
      <c r="O10" s="7"/>
      <c r="P10" s="1"/>
      <c r="Q10" s="1"/>
      <c r="R10" s="1"/>
      <c r="S10" s="1"/>
      <c r="T10" s="1"/>
      <c r="U10" s="7"/>
      <c r="V10" s="7"/>
      <c r="W10" s="7"/>
      <c r="X10" s="8"/>
      <c r="Y10" s="8"/>
      <c r="Z10" s="8"/>
      <c r="AA10" s="8"/>
      <c r="AB10" s="8"/>
      <c r="AC10" s="1"/>
      <c r="AD10" s="1"/>
      <c r="AE10" s="8"/>
      <c r="AF10" s="8"/>
      <c r="AG10" s="8"/>
      <c r="AH10" s="1"/>
      <c r="AI10" s="1"/>
      <c r="AJ10" s="8"/>
      <c r="AK10" s="8"/>
      <c r="AL10" s="8"/>
      <c r="AM10" s="1"/>
      <c r="AN10" s="1"/>
      <c r="AO10" s="1"/>
      <c r="AP10" s="1"/>
      <c r="AQ10" s="1"/>
      <c r="AR10" s="1"/>
      <c r="AS10" s="1"/>
      <c r="AT10" s="9"/>
      <c r="AU10" s="9"/>
      <c r="AV10" s="9"/>
      <c r="AW10" s="9"/>
      <c r="AX10" s="9"/>
      <c r="AY10" s="9"/>
      <c r="AZ10" s="10"/>
      <c r="BA10" s="10"/>
      <c r="BB10" s="10"/>
      <c r="BC10" s="10"/>
      <c r="BD10" s="10"/>
      <c r="BE10" s="10"/>
      <c r="BF10" s="10"/>
      <c r="BG10" s="10"/>
      <c r="BH10" s="1"/>
      <c r="BI10" s="1"/>
      <c r="BJ10" s="1"/>
      <c r="BK10" s="1"/>
      <c r="BL10" s="1"/>
      <c r="BM10" s="1"/>
      <c r="BN10" s="1"/>
      <c r="BO10" s="1"/>
      <c r="BP10" s="1"/>
      <c r="BQ10" s="1"/>
      <c r="BR10" s="1"/>
      <c r="BS10" s="1"/>
      <c r="BT10" s="1"/>
      <c r="BU10" s="1"/>
      <c r="BV10" s="1"/>
      <c r="BW10" s="1"/>
      <c r="BX10" s="47"/>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1"/>
      <c r="CX10" s="1"/>
    </row>
    <row r="11" spans="1:104" ht="16.5" customHeight="1" thickBot="1" x14ac:dyDescent="0.3">
      <c r="A11" s="1"/>
      <c r="B11" s="11"/>
      <c r="C11" s="11"/>
      <c r="D11" s="11"/>
      <c r="E11" s="11"/>
      <c r="F11" s="11"/>
      <c r="G11" s="11"/>
      <c r="H11" s="11"/>
      <c r="I11" s="11"/>
      <c r="J11" s="11"/>
      <c r="K11" s="11"/>
      <c r="L11" s="11"/>
      <c r="M11" s="11"/>
      <c r="N11" s="11"/>
      <c r="O11" s="11"/>
      <c r="P11" s="1"/>
      <c r="Q11" s="1"/>
      <c r="R11" s="1"/>
      <c r="S11" s="1"/>
      <c r="T11" s="1"/>
      <c r="U11" s="11"/>
      <c r="V11" s="11"/>
      <c r="W11" s="11"/>
      <c r="X11" s="11"/>
      <c r="Y11" s="12"/>
      <c r="Z11" s="1"/>
      <c r="AA11" s="1"/>
      <c r="AB11" s="1"/>
      <c r="AC11" s="1"/>
      <c r="AD11" s="1"/>
      <c r="AE11" s="1"/>
      <c r="AF11" s="1"/>
      <c r="AG11" s="1"/>
      <c r="AH11" s="1"/>
      <c r="AI11" s="1"/>
      <c r="AJ11" s="1"/>
      <c r="AK11" s="1"/>
      <c r="AL11" s="1"/>
      <c r="AM11" s="1"/>
      <c r="AN11" s="1"/>
      <c r="AO11" s="1"/>
      <c r="AP11" s="1"/>
      <c r="AQ11" s="1"/>
      <c r="AR11" s="1"/>
      <c r="AS11" s="1"/>
      <c r="AT11" s="9"/>
      <c r="AU11" s="9"/>
      <c r="AV11" s="9"/>
      <c r="AW11" s="9"/>
      <c r="AX11" s="9"/>
      <c r="AY11" s="9"/>
      <c r="AZ11" s="10"/>
      <c r="BA11" s="10"/>
      <c r="BB11" s="10"/>
      <c r="BC11" s="10"/>
      <c r="BD11" s="10"/>
      <c r="BE11" s="10"/>
      <c r="BF11" s="10"/>
      <c r="BG11" s="10"/>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Z11" s="13"/>
    </row>
    <row r="12" spans="1:104" ht="44.25" customHeight="1" thickTop="1" thickBot="1" x14ac:dyDescent="0.6">
      <c r="A12" s="1"/>
      <c r="B12" s="51" t="s">
        <v>5</v>
      </c>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3"/>
      <c r="CX12" s="1"/>
    </row>
    <row r="13" spans="1:104" ht="56.25" customHeight="1" thickTop="1" x14ac:dyDescent="0.55000000000000004">
      <c r="A13" s="1"/>
      <c r="B13" s="11"/>
      <c r="C13" s="11"/>
      <c r="D13" s="11"/>
      <c r="E13" s="11"/>
      <c r="F13" s="11"/>
      <c r="G13" s="11"/>
      <c r="H13" s="11"/>
      <c r="I13" s="11"/>
      <c r="J13" s="11"/>
      <c r="K13" s="11"/>
      <c r="L13" s="11"/>
      <c r="M13" s="11"/>
      <c r="N13" s="11"/>
      <c r="O13" s="11"/>
      <c r="P13" s="11"/>
      <c r="Q13" s="11"/>
      <c r="R13" s="54"/>
      <c r="S13" s="54"/>
      <c r="T13" s="54"/>
      <c r="U13" s="11"/>
      <c r="V13" s="11"/>
      <c r="W13" s="11"/>
      <c r="X13" s="11"/>
      <c r="Y13" s="12"/>
      <c r="Z13" s="1"/>
      <c r="AA13" s="55"/>
      <c r="AB13" s="55"/>
      <c r="AC13" s="55"/>
      <c r="AD13" s="55"/>
      <c r="AE13" s="55"/>
      <c r="AF13" s="55"/>
      <c r="AG13" s="55"/>
      <c r="AH13" s="55"/>
      <c r="AI13" s="55"/>
      <c r="AJ13" s="55"/>
      <c r="AK13" s="55"/>
      <c r="AL13" s="55"/>
      <c r="AM13" s="55"/>
      <c r="AN13" s="55"/>
      <c r="AO13" s="55"/>
      <c r="AP13" s="55"/>
      <c r="AQ13" s="54"/>
      <c r="AR13" s="54"/>
      <c r="AS13" s="54"/>
      <c r="AT13" s="9"/>
      <c r="AU13" s="9"/>
      <c r="AV13" s="9"/>
      <c r="AW13" s="9"/>
      <c r="AX13" s="9"/>
      <c r="AY13" s="9"/>
      <c r="AZ13" s="10"/>
      <c r="BA13" s="10"/>
      <c r="BB13" s="10"/>
      <c r="BC13" s="10"/>
      <c r="BD13" s="10"/>
      <c r="BE13" s="10"/>
      <c r="BF13" s="10"/>
      <c r="BG13" s="10"/>
      <c r="BH13" s="1"/>
      <c r="BI13" s="1"/>
      <c r="BJ13" s="1"/>
      <c r="BK13" s="1"/>
      <c r="BL13" s="1"/>
      <c r="BM13" s="11"/>
      <c r="BN13" s="11"/>
      <c r="BO13" s="54"/>
      <c r="BP13" s="54"/>
      <c r="BQ13" s="54"/>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row>
    <row r="14" spans="1:104" ht="25.4" customHeight="1" x14ac:dyDescent="0.55000000000000004">
      <c r="A14" s="1"/>
      <c r="B14" s="56" t="s">
        <v>6</v>
      </c>
      <c r="C14" s="57"/>
      <c r="D14" s="57"/>
      <c r="E14" s="57"/>
      <c r="F14" s="57"/>
      <c r="G14" s="57"/>
      <c r="H14" s="57"/>
      <c r="I14" s="58"/>
      <c r="J14" s="62" t="s">
        <v>7</v>
      </c>
      <c r="K14" s="63"/>
      <c r="L14" s="63"/>
      <c r="M14" s="63"/>
      <c r="N14" s="63"/>
      <c r="O14" s="64"/>
      <c r="P14" s="62" t="s">
        <v>8</v>
      </c>
      <c r="Q14" s="63"/>
      <c r="R14" s="63"/>
      <c r="S14" s="63"/>
      <c r="T14" s="64"/>
      <c r="U14" s="62" t="s">
        <v>9</v>
      </c>
      <c r="V14" s="63"/>
      <c r="W14" s="63"/>
      <c r="X14" s="63"/>
      <c r="Y14" s="64"/>
      <c r="Z14" s="62" t="s">
        <v>10</v>
      </c>
      <c r="AA14" s="63"/>
      <c r="AB14" s="63"/>
      <c r="AC14" s="63"/>
      <c r="AD14" s="64"/>
      <c r="AE14" s="62" t="s">
        <v>11</v>
      </c>
      <c r="AF14" s="63"/>
      <c r="AG14" s="63"/>
      <c r="AH14" s="63"/>
      <c r="AI14" s="64"/>
      <c r="AJ14" s="62" t="s">
        <v>12</v>
      </c>
      <c r="AK14" s="63"/>
      <c r="AL14" s="63"/>
      <c r="AM14" s="63"/>
      <c r="AN14" s="64"/>
      <c r="AO14" s="62" t="s">
        <v>13</v>
      </c>
      <c r="AP14" s="63"/>
      <c r="AQ14" s="63"/>
      <c r="AR14" s="63"/>
      <c r="AS14" s="64"/>
      <c r="AT14" s="68" t="s">
        <v>14</v>
      </c>
      <c r="AU14" s="69"/>
      <c r="AV14" s="69"/>
      <c r="AW14" s="69"/>
      <c r="AX14" s="69"/>
      <c r="AY14" s="69"/>
      <c r="AZ14" s="70"/>
      <c r="BA14" s="9"/>
      <c r="BB14" s="9"/>
      <c r="BC14" s="9"/>
      <c r="BD14" s="10"/>
      <c r="BG14" s="68" t="s">
        <v>7</v>
      </c>
      <c r="BH14" s="69"/>
      <c r="BI14" s="69"/>
      <c r="BJ14" s="69"/>
      <c r="BK14" s="69"/>
      <c r="BL14" s="70"/>
      <c r="BM14" s="62" t="s">
        <v>8</v>
      </c>
      <c r="BN14" s="63"/>
      <c r="BO14" s="63"/>
      <c r="BP14" s="63"/>
      <c r="BQ14" s="64"/>
      <c r="BR14" s="68" t="s">
        <v>15</v>
      </c>
      <c r="BS14" s="69"/>
      <c r="BT14" s="69"/>
      <c r="BU14" s="69"/>
      <c r="BV14" s="69"/>
      <c r="BW14" s="69"/>
      <c r="BX14" s="69"/>
      <c r="BY14" s="70"/>
      <c r="BZ14" s="62" t="s">
        <v>10</v>
      </c>
      <c r="CA14" s="63"/>
      <c r="CB14" s="63"/>
      <c r="CC14" s="63"/>
      <c r="CD14" s="64"/>
      <c r="CE14" s="62" t="s">
        <v>11</v>
      </c>
      <c r="CF14" s="63"/>
      <c r="CG14" s="63"/>
      <c r="CH14" s="63"/>
      <c r="CI14" s="64"/>
      <c r="CJ14" s="62" t="s">
        <v>13</v>
      </c>
      <c r="CK14" s="63"/>
      <c r="CL14" s="63"/>
      <c r="CM14" s="63"/>
      <c r="CN14" s="64"/>
      <c r="CO14" s="68" t="s">
        <v>16</v>
      </c>
      <c r="CP14" s="69"/>
      <c r="CQ14" s="69"/>
      <c r="CR14" s="69"/>
      <c r="CS14" s="69"/>
      <c r="CT14" s="70"/>
    </row>
    <row r="15" spans="1:104" ht="25.4" customHeight="1" x14ac:dyDescent="0.55000000000000004">
      <c r="A15" s="1"/>
      <c r="B15" s="59"/>
      <c r="C15" s="60"/>
      <c r="D15" s="60"/>
      <c r="E15" s="60"/>
      <c r="F15" s="60"/>
      <c r="G15" s="60"/>
      <c r="H15" s="60"/>
      <c r="I15" s="61"/>
      <c r="J15" s="65"/>
      <c r="K15" s="66"/>
      <c r="L15" s="66"/>
      <c r="M15" s="66"/>
      <c r="N15" s="66"/>
      <c r="O15" s="67"/>
      <c r="P15" s="65"/>
      <c r="Q15" s="66"/>
      <c r="R15" s="66"/>
      <c r="S15" s="66"/>
      <c r="T15" s="67"/>
      <c r="U15" s="65"/>
      <c r="V15" s="66"/>
      <c r="W15" s="66"/>
      <c r="X15" s="66"/>
      <c r="Y15" s="67"/>
      <c r="Z15" s="65"/>
      <c r="AA15" s="66"/>
      <c r="AB15" s="66"/>
      <c r="AC15" s="66"/>
      <c r="AD15" s="67"/>
      <c r="AE15" s="65"/>
      <c r="AF15" s="66"/>
      <c r="AG15" s="66"/>
      <c r="AH15" s="66"/>
      <c r="AI15" s="67"/>
      <c r="AJ15" s="65"/>
      <c r="AK15" s="66"/>
      <c r="AL15" s="66"/>
      <c r="AM15" s="66"/>
      <c r="AN15" s="67"/>
      <c r="AO15" s="65"/>
      <c r="AP15" s="66"/>
      <c r="AQ15" s="66"/>
      <c r="AR15" s="66"/>
      <c r="AS15" s="67"/>
      <c r="AT15" s="71"/>
      <c r="AU15" s="72"/>
      <c r="AV15" s="72"/>
      <c r="AW15" s="72"/>
      <c r="AX15" s="72"/>
      <c r="AY15" s="72"/>
      <c r="AZ15" s="73"/>
      <c r="BA15" s="9"/>
      <c r="BB15" s="9"/>
      <c r="BC15" s="9"/>
      <c r="BD15" s="10"/>
      <c r="BG15" s="71"/>
      <c r="BH15" s="72"/>
      <c r="BI15" s="72"/>
      <c r="BJ15" s="72"/>
      <c r="BK15" s="72"/>
      <c r="BL15" s="73"/>
      <c r="BM15" s="65"/>
      <c r="BN15" s="66"/>
      <c r="BO15" s="66"/>
      <c r="BP15" s="66"/>
      <c r="BQ15" s="67"/>
      <c r="BR15" s="71"/>
      <c r="BS15" s="72"/>
      <c r="BT15" s="72"/>
      <c r="BU15" s="72"/>
      <c r="BV15" s="72"/>
      <c r="BW15" s="72"/>
      <c r="BX15" s="72"/>
      <c r="BY15" s="73"/>
      <c r="BZ15" s="65"/>
      <c r="CA15" s="66"/>
      <c r="CB15" s="66"/>
      <c r="CC15" s="66"/>
      <c r="CD15" s="67"/>
      <c r="CE15" s="65"/>
      <c r="CF15" s="66"/>
      <c r="CG15" s="66"/>
      <c r="CH15" s="66"/>
      <c r="CI15" s="67"/>
      <c r="CJ15" s="65"/>
      <c r="CK15" s="66"/>
      <c r="CL15" s="66"/>
      <c r="CM15" s="66"/>
      <c r="CN15" s="67"/>
      <c r="CO15" s="71"/>
      <c r="CP15" s="72"/>
      <c r="CQ15" s="72"/>
      <c r="CR15" s="72"/>
      <c r="CS15" s="72"/>
      <c r="CT15" s="73"/>
    </row>
    <row r="16" spans="1:104" ht="25.4" customHeight="1" x14ac:dyDescent="0.55000000000000004">
      <c r="A16" s="74">
        <v>1</v>
      </c>
      <c r="B16" s="76" t="s">
        <v>40</v>
      </c>
      <c r="C16" s="77"/>
      <c r="D16" s="77"/>
      <c r="E16" s="77"/>
      <c r="F16" s="77"/>
      <c r="G16" s="77"/>
      <c r="H16" s="77"/>
      <c r="I16" s="78"/>
      <c r="J16" s="82" t="s">
        <v>49</v>
      </c>
      <c r="K16" s="83"/>
      <c r="L16" s="83"/>
      <c r="M16" s="83"/>
      <c r="N16" s="83"/>
      <c r="O16" s="84"/>
      <c r="P16" s="88">
        <v>2</v>
      </c>
      <c r="Q16" s="89"/>
      <c r="R16" s="89"/>
      <c r="S16" s="89"/>
      <c r="T16" s="90"/>
      <c r="U16" s="94" t="s">
        <v>52</v>
      </c>
      <c r="V16" s="95"/>
      <c r="W16" s="95"/>
      <c r="X16" s="95"/>
      <c r="Y16" s="96"/>
      <c r="Z16" s="121" t="s">
        <v>54</v>
      </c>
      <c r="AA16" s="122"/>
      <c r="AB16" s="122"/>
      <c r="AC16" s="122"/>
      <c r="AD16" s="123"/>
      <c r="AE16" s="139" t="s">
        <v>19</v>
      </c>
      <c r="AF16" s="122"/>
      <c r="AG16" s="122"/>
      <c r="AH16" s="122"/>
      <c r="AI16" s="123"/>
      <c r="AJ16" s="88">
        <v>5</v>
      </c>
      <c r="AK16" s="89"/>
      <c r="AL16" s="89"/>
      <c r="AM16" s="89"/>
      <c r="AN16" s="90"/>
      <c r="AO16" s="140" t="s">
        <v>20</v>
      </c>
      <c r="AP16" s="141"/>
      <c r="AQ16" s="141"/>
      <c r="AR16" s="141"/>
      <c r="AS16" s="142"/>
      <c r="AT16" s="146">
        <v>36000</v>
      </c>
      <c r="AU16" s="147"/>
      <c r="AV16" s="147"/>
      <c r="AW16" s="147"/>
      <c r="AX16" s="147"/>
      <c r="AY16" s="147"/>
      <c r="AZ16" s="148"/>
      <c r="BA16" s="9"/>
      <c r="BB16" s="9"/>
      <c r="BC16" s="9"/>
      <c r="BD16" s="10"/>
      <c r="BG16" s="82" t="str">
        <f>J16</f>
        <v>三菱</v>
      </c>
      <c r="BH16" s="89"/>
      <c r="BI16" s="89"/>
      <c r="BJ16" s="89"/>
      <c r="BK16" s="89"/>
      <c r="BL16" s="90"/>
      <c r="BM16" s="88">
        <f>+P16</f>
        <v>2</v>
      </c>
      <c r="BN16" s="89"/>
      <c r="BO16" s="89"/>
      <c r="BP16" s="89"/>
      <c r="BQ16" s="90"/>
      <c r="BR16" s="109" t="s">
        <v>21</v>
      </c>
      <c r="BS16" s="110"/>
      <c r="BT16" s="110"/>
      <c r="BU16" s="110"/>
      <c r="BV16" s="110"/>
      <c r="BW16" s="110"/>
      <c r="BX16" s="110"/>
      <c r="BY16" s="111"/>
      <c r="BZ16" s="115" t="s">
        <v>18</v>
      </c>
      <c r="CA16" s="116"/>
      <c r="CB16" s="116"/>
      <c r="CC16" s="116"/>
      <c r="CD16" s="117"/>
      <c r="CE16" s="121" t="s">
        <v>51</v>
      </c>
      <c r="CF16" s="122"/>
      <c r="CG16" s="122"/>
      <c r="CH16" s="122"/>
      <c r="CI16" s="123"/>
      <c r="CJ16" s="127" t="s">
        <v>46</v>
      </c>
      <c r="CK16" s="128"/>
      <c r="CL16" s="128"/>
      <c r="CM16" s="128"/>
      <c r="CN16" s="129"/>
      <c r="CO16" s="133">
        <f>27000*2</f>
        <v>54000</v>
      </c>
      <c r="CP16" s="134"/>
      <c r="CQ16" s="134"/>
      <c r="CR16" s="134"/>
      <c r="CS16" s="134"/>
      <c r="CT16" s="135"/>
    </row>
    <row r="17" spans="1:98" ht="25.4" customHeight="1" x14ac:dyDescent="0.55000000000000004">
      <c r="A17" s="75"/>
      <c r="B17" s="79"/>
      <c r="C17" s="80"/>
      <c r="D17" s="80"/>
      <c r="E17" s="80"/>
      <c r="F17" s="80"/>
      <c r="G17" s="80"/>
      <c r="H17" s="80"/>
      <c r="I17" s="81"/>
      <c r="J17" s="85"/>
      <c r="K17" s="86"/>
      <c r="L17" s="86"/>
      <c r="M17" s="86"/>
      <c r="N17" s="86"/>
      <c r="O17" s="87"/>
      <c r="P17" s="91"/>
      <c r="Q17" s="92"/>
      <c r="R17" s="92"/>
      <c r="S17" s="92"/>
      <c r="T17" s="93"/>
      <c r="U17" s="97"/>
      <c r="V17" s="98"/>
      <c r="W17" s="98"/>
      <c r="X17" s="98"/>
      <c r="Y17" s="99"/>
      <c r="Z17" s="124"/>
      <c r="AA17" s="125"/>
      <c r="AB17" s="125"/>
      <c r="AC17" s="125"/>
      <c r="AD17" s="126"/>
      <c r="AE17" s="124"/>
      <c r="AF17" s="125"/>
      <c r="AG17" s="125"/>
      <c r="AH17" s="125"/>
      <c r="AI17" s="126"/>
      <c r="AJ17" s="91"/>
      <c r="AK17" s="92"/>
      <c r="AL17" s="92"/>
      <c r="AM17" s="92"/>
      <c r="AN17" s="93"/>
      <c r="AO17" s="143"/>
      <c r="AP17" s="144"/>
      <c r="AQ17" s="144"/>
      <c r="AR17" s="144"/>
      <c r="AS17" s="145"/>
      <c r="AT17" s="149"/>
      <c r="AU17" s="150"/>
      <c r="AV17" s="150"/>
      <c r="AW17" s="150"/>
      <c r="AX17" s="150"/>
      <c r="AY17" s="150"/>
      <c r="AZ17" s="151"/>
      <c r="BA17" s="9"/>
      <c r="BB17" s="9"/>
      <c r="BC17" s="9"/>
      <c r="BD17" s="10"/>
      <c r="BG17" s="91"/>
      <c r="BH17" s="92"/>
      <c r="BI17" s="92"/>
      <c r="BJ17" s="92"/>
      <c r="BK17" s="92"/>
      <c r="BL17" s="93"/>
      <c r="BM17" s="91"/>
      <c r="BN17" s="92"/>
      <c r="BO17" s="92"/>
      <c r="BP17" s="92"/>
      <c r="BQ17" s="93"/>
      <c r="BR17" s="112"/>
      <c r="BS17" s="113"/>
      <c r="BT17" s="113"/>
      <c r="BU17" s="113"/>
      <c r="BV17" s="113"/>
      <c r="BW17" s="113"/>
      <c r="BX17" s="113"/>
      <c r="BY17" s="114"/>
      <c r="BZ17" s="118"/>
      <c r="CA17" s="119"/>
      <c r="CB17" s="119"/>
      <c r="CC17" s="119"/>
      <c r="CD17" s="120"/>
      <c r="CE17" s="124"/>
      <c r="CF17" s="125"/>
      <c r="CG17" s="125"/>
      <c r="CH17" s="125"/>
      <c r="CI17" s="126"/>
      <c r="CJ17" s="130"/>
      <c r="CK17" s="131"/>
      <c r="CL17" s="131"/>
      <c r="CM17" s="131"/>
      <c r="CN17" s="132"/>
      <c r="CO17" s="136"/>
      <c r="CP17" s="137"/>
      <c r="CQ17" s="137"/>
      <c r="CR17" s="137"/>
      <c r="CS17" s="137"/>
      <c r="CT17" s="138"/>
    </row>
    <row r="18" spans="1:98" ht="25.4" customHeight="1" x14ac:dyDescent="0.55000000000000004">
      <c r="A18" s="74">
        <v>2</v>
      </c>
      <c r="B18" s="76" t="s">
        <v>41</v>
      </c>
      <c r="C18" s="77"/>
      <c r="D18" s="77"/>
      <c r="E18" s="77"/>
      <c r="F18" s="77"/>
      <c r="G18" s="77"/>
      <c r="H18" s="77"/>
      <c r="I18" s="78"/>
      <c r="J18" s="82" t="s">
        <v>48</v>
      </c>
      <c r="K18" s="83"/>
      <c r="L18" s="83"/>
      <c r="M18" s="83"/>
      <c r="N18" s="83"/>
      <c r="O18" s="84"/>
      <c r="P18" s="88">
        <v>2</v>
      </c>
      <c r="Q18" s="89"/>
      <c r="R18" s="89"/>
      <c r="S18" s="89"/>
      <c r="T18" s="90"/>
      <c r="U18" s="94" t="s">
        <v>52</v>
      </c>
      <c r="V18" s="95"/>
      <c r="W18" s="95"/>
      <c r="X18" s="95"/>
      <c r="Y18" s="96"/>
      <c r="Z18" s="121" t="s">
        <v>47</v>
      </c>
      <c r="AA18" s="122"/>
      <c r="AB18" s="122"/>
      <c r="AC18" s="122"/>
      <c r="AD18" s="123"/>
      <c r="AE18" s="139" t="s">
        <v>19</v>
      </c>
      <c r="AF18" s="122"/>
      <c r="AG18" s="122"/>
      <c r="AH18" s="122"/>
      <c r="AI18" s="123"/>
      <c r="AJ18" s="88">
        <v>5</v>
      </c>
      <c r="AK18" s="89"/>
      <c r="AL18" s="89"/>
      <c r="AM18" s="89"/>
      <c r="AN18" s="90"/>
      <c r="AO18" s="140" t="s">
        <v>46</v>
      </c>
      <c r="AP18" s="141"/>
      <c r="AQ18" s="141"/>
      <c r="AR18" s="141"/>
      <c r="AS18" s="142"/>
      <c r="AT18" s="146">
        <v>66000</v>
      </c>
      <c r="AU18" s="147"/>
      <c r="AV18" s="147"/>
      <c r="AW18" s="147"/>
      <c r="AX18" s="147"/>
      <c r="AY18" s="147"/>
      <c r="AZ18" s="148"/>
      <c r="BA18" s="9"/>
      <c r="BB18" s="9"/>
      <c r="BC18" s="9"/>
      <c r="BD18" s="10"/>
      <c r="BG18" s="82" t="str">
        <f>J18</f>
        <v>フジテック</v>
      </c>
      <c r="BH18" s="89"/>
      <c r="BI18" s="89"/>
      <c r="BJ18" s="89"/>
      <c r="BK18" s="89"/>
      <c r="BL18" s="90"/>
      <c r="BM18" s="88">
        <f>+P18</f>
        <v>2</v>
      </c>
      <c r="BN18" s="89"/>
      <c r="BO18" s="89"/>
      <c r="BP18" s="89"/>
      <c r="BQ18" s="90"/>
      <c r="BR18" s="109" t="s">
        <v>21</v>
      </c>
      <c r="BS18" s="110"/>
      <c r="BT18" s="110"/>
      <c r="BU18" s="110"/>
      <c r="BV18" s="110"/>
      <c r="BW18" s="110"/>
      <c r="BX18" s="110"/>
      <c r="BY18" s="111"/>
      <c r="BZ18" s="115" t="s">
        <v>47</v>
      </c>
      <c r="CA18" s="116"/>
      <c r="CB18" s="116"/>
      <c r="CC18" s="116"/>
      <c r="CD18" s="117"/>
      <c r="CE18" s="121" t="s">
        <v>51</v>
      </c>
      <c r="CF18" s="122"/>
      <c r="CG18" s="122"/>
      <c r="CH18" s="122"/>
      <c r="CI18" s="123"/>
      <c r="CJ18" s="140" t="s">
        <v>46</v>
      </c>
      <c r="CK18" s="141"/>
      <c r="CL18" s="141"/>
      <c r="CM18" s="141"/>
      <c r="CN18" s="142"/>
      <c r="CO18" s="133">
        <f>28000*BM18</f>
        <v>56000</v>
      </c>
      <c r="CP18" s="134"/>
      <c r="CQ18" s="134"/>
      <c r="CR18" s="134"/>
      <c r="CS18" s="134"/>
      <c r="CT18" s="135"/>
    </row>
    <row r="19" spans="1:98" ht="25.4" customHeight="1" x14ac:dyDescent="0.55000000000000004">
      <c r="A19" s="75"/>
      <c r="B19" s="79"/>
      <c r="C19" s="80"/>
      <c r="D19" s="80"/>
      <c r="E19" s="80"/>
      <c r="F19" s="80"/>
      <c r="G19" s="80"/>
      <c r="H19" s="80"/>
      <c r="I19" s="81"/>
      <c r="J19" s="85"/>
      <c r="K19" s="86"/>
      <c r="L19" s="86"/>
      <c r="M19" s="86"/>
      <c r="N19" s="86"/>
      <c r="O19" s="87"/>
      <c r="P19" s="91"/>
      <c r="Q19" s="92"/>
      <c r="R19" s="92"/>
      <c r="S19" s="92"/>
      <c r="T19" s="93"/>
      <c r="U19" s="97"/>
      <c r="V19" s="98"/>
      <c r="W19" s="98"/>
      <c r="X19" s="98"/>
      <c r="Y19" s="99"/>
      <c r="Z19" s="124"/>
      <c r="AA19" s="125"/>
      <c r="AB19" s="125"/>
      <c r="AC19" s="125"/>
      <c r="AD19" s="126"/>
      <c r="AE19" s="124"/>
      <c r="AF19" s="125"/>
      <c r="AG19" s="125"/>
      <c r="AH19" s="125"/>
      <c r="AI19" s="126"/>
      <c r="AJ19" s="91"/>
      <c r="AK19" s="92"/>
      <c r="AL19" s="92"/>
      <c r="AM19" s="92"/>
      <c r="AN19" s="93"/>
      <c r="AO19" s="143"/>
      <c r="AP19" s="144"/>
      <c r="AQ19" s="144"/>
      <c r="AR19" s="144"/>
      <c r="AS19" s="145"/>
      <c r="AT19" s="149"/>
      <c r="AU19" s="150"/>
      <c r="AV19" s="150"/>
      <c r="AW19" s="150"/>
      <c r="AX19" s="150"/>
      <c r="AY19" s="150"/>
      <c r="AZ19" s="151"/>
      <c r="BA19" s="9"/>
      <c r="BB19" s="9"/>
      <c r="BC19" s="9"/>
      <c r="BD19" s="10"/>
      <c r="BG19" s="91"/>
      <c r="BH19" s="92"/>
      <c r="BI19" s="92"/>
      <c r="BJ19" s="92"/>
      <c r="BK19" s="92"/>
      <c r="BL19" s="93"/>
      <c r="BM19" s="91"/>
      <c r="BN19" s="92"/>
      <c r="BO19" s="92"/>
      <c r="BP19" s="92"/>
      <c r="BQ19" s="93"/>
      <c r="BR19" s="112"/>
      <c r="BS19" s="113"/>
      <c r="BT19" s="113"/>
      <c r="BU19" s="113"/>
      <c r="BV19" s="113"/>
      <c r="BW19" s="113"/>
      <c r="BX19" s="113"/>
      <c r="BY19" s="114"/>
      <c r="BZ19" s="118"/>
      <c r="CA19" s="119"/>
      <c r="CB19" s="119"/>
      <c r="CC19" s="119"/>
      <c r="CD19" s="120"/>
      <c r="CE19" s="124"/>
      <c r="CF19" s="125"/>
      <c r="CG19" s="125"/>
      <c r="CH19" s="125"/>
      <c r="CI19" s="126"/>
      <c r="CJ19" s="143"/>
      <c r="CK19" s="144"/>
      <c r="CL19" s="144"/>
      <c r="CM19" s="144"/>
      <c r="CN19" s="145"/>
      <c r="CO19" s="136"/>
      <c r="CP19" s="137"/>
      <c r="CQ19" s="137"/>
      <c r="CR19" s="137"/>
      <c r="CS19" s="137"/>
      <c r="CT19" s="138"/>
    </row>
    <row r="20" spans="1:98" ht="25.4" customHeight="1" x14ac:dyDescent="0.55000000000000004">
      <c r="A20" s="74">
        <v>3</v>
      </c>
      <c r="B20" s="76" t="s">
        <v>42</v>
      </c>
      <c r="C20" s="77"/>
      <c r="D20" s="77"/>
      <c r="E20" s="77"/>
      <c r="F20" s="77"/>
      <c r="G20" s="77"/>
      <c r="H20" s="77"/>
      <c r="I20" s="78"/>
      <c r="J20" s="82" t="s">
        <v>49</v>
      </c>
      <c r="K20" s="83"/>
      <c r="L20" s="83"/>
      <c r="M20" s="83"/>
      <c r="N20" s="83"/>
      <c r="O20" s="84"/>
      <c r="P20" s="88">
        <v>1</v>
      </c>
      <c r="Q20" s="89"/>
      <c r="R20" s="89"/>
      <c r="S20" s="89"/>
      <c r="T20" s="90"/>
      <c r="U20" s="94" t="s">
        <v>53</v>
      </c>
      <c r="V20" s="95"/>
      <c r="W20" s="95"/>
      <c r="X20" s="95"/>
      <c r="Y20" s="96"/>
      <c r="Z20" s="121" t="s">
        <v>47</v>
      </c>
      <c r="AA20" s="122"/>
      <c r="AB20" s="122"/>
      <c r="AC20" s="122"/>
      <c r="AD20" s="123"/>
      <c r="AE20" s="139" t="s">
        <v>19</v>
      </c>
      <c r="AF20" s="122"/>
      <c r="AG20" s="122"/>
      <c r="AH20" s="122"/>
      <c r="AI20" s="123"/>
      <c r="AJ20" s="88">
        <v>4</v>
      </c>
      <c r="AK20" s="89"/>
      <c r="AL20" s="89"/>
      <c r="AM20" s="89"/>
      <c r="AN20" s="90"/>
      <c r="AO20" s="140" t="s">
        <v>46</v>
      </c>
      <c r="AP20" s="141"/>
      <c r="AQ20" s="141"/>
      <c r="AR20" s="141"/>
      <c r="AS20" s="142"/>
      <c r="AT20" s="146">
        <v>30000</v>
      </c>
      <c r="AU20" s="147"/>
      <c r="AV20" s="147"/>
      <c r="AW20" s="147"/>
      <c r="AX20" s="147"/>
      <c r="AY20" s="147"/>
      <c r="AZ20" s="148"/>
      <c r="BA20" s="9"/>
      <c r="BB20" s="9"/>
      <c r="BC20" s="9"/>
      <c r="BD20" s="10"/>
      <c r="BG20" s="82" t="str">
        <f>J20</f>
        <v>三菱</v>
      </c>
      <c r="BH20" s="89"/>
      <c r="BI20" s="89"/>
      <c r="BJ20" s="89"/>
      <c r="BK20" s="89"/>
      <c r="BL20" s="90"/>
      <c r="BM20" s="88">
        <f>+P20</f>
        <v>1</v>
      </c>
      <c r="BN20" s="89"/>
      <c r="BO20" s="89"/>
      <c r="BP20" s="89"/>
      <c r="BQ20" s="90"/>
      <c r="BR20" s="109" t="s">
        <v>21</v>
      </c>
      <c r="BS20" s="110"/>
      <c r="BT20" s="110"/>
      <c r="BU20" s="110"/>
      <c r="BV20" s="110"/>
      <c r="BW20" s="110"/>
      <c r="BX20" s="110"/>
      <c r="BY20" s="111"/>
      <c r="BZ20" s="115" t="s">
        <v>47</v>
      </c>
      <c r="CA20" s="116"/>
      <c r="CB20" s="116"/>
      <c r="CC20" s="116"/>
      <c r="CD20" s="117"/>
      <c r="CE20" s="121" t="s">
        <v>51</v>
      </c>
      <c r="CF20" s="122"/>
      <c r="CG20" s="122"/>
      <c r="CH20" s="122"/>
      <c r="CI20" s="123"/>
      <c r="CJ20" s="140" t="s">
        <v>46</v>
      </c>
      <c r="CK20" s="141"/>
      <c r="CL20" s="141"/>
      <c r="CM20" s="141"/>
      <c r="CN20" s="142"/>
      <c r="CO20" s="133">
        <v>27000</v>
      </c>
      <c r="CP20" s="134"/>
      <c r="CQ20" s="134"/>
      <c r="CR20" s="134"/>
      <c r="CS20" s="134"/>
      <c r="CT20" s="135"/>
    </row>
    <row r="21" spans="1:98" ht="25.4" customHeight="1" x14ac:dyDescent="0.55000000000000004">
      <c r="A21" s="75"/>
      <c r="B21" s="79"/>
      <c r="C21" s="80"/>
      <c r="D21" s="80"/>
      <c r="E21" s="80"/>
      <c r="F21" s="80"/>
      <c r="G21" s="80"/>
      <c r="H21" s="80"/>
      <c r="I21" s="81"/>
      <c r="J21" s="85"/>
      <c r="K21" s="86"/>
      <c r="L21" s="86"/>
      <c r="M21" s="86"/>
      <c r="N21" s="86"/>
      <c r="O21" s="87"/>
      <c r="P21" s="91"/>
      <c r="Q21" s="92"/>
      <c r="R21" s="92"/>
      <c r="S21" s="92"/>
      <c r="T21" s="93"/>
      <c r="U21" s="97"/>
      <c r="V21" s="98"/>
      <c r="W21" s="98"/>
      <c r="X21" s="98"/>
      <c r="Y21" s="99"/>
      <c r="Z21" s="124"/>
      <c r="AA21" s="125"/>
      <c r="AB21" s="125"/>
      <c r="AC21" s="125"/>
      <c r="AD21" s="126"/>
      <c r="AE21" s="124"/>
      <c r="AF21" s="125"/>
      <c r="AG21" s="125"/>
      <c r="AH21" s="125"/>
      <c r="AI21" s="126"/>
      <c r="AJ21" s="91"/>
      <c r="AK21" s="92"/>
      <c r="AL21" s="92"/>
      <c r="AM21" s="92"/>
      <c r="AN21" s="93"/>
      <c r="AO21" s="143"/>
      <c r="AP21" s="144"/>
      <c r="AQ21" s="144"/>
      <c r="AR21" s="144"/>
      <c r="AS21" s="145"/>
      <c r="AT21" s="149"/>
      <c r="AU21" s="150"/>
      <c r="AV21" s="150"/>
      <c r="AW21" s="150"/>
      <c r="AX21" s="150"/>
      <c r="AY21" s="150"/>
      <c r="AZ21" s="151"/>
      <c r="BA21" s="9"/>
      <c r="BB21" s="9"/>
      <c r="BC21" s="9"/>
      <c r="BD21" s="10"/>
      <c r="BG21" s="91"/>
      <c r="BH21" s="92"/>
      <c r="BI21" s="92"/>
      <c r="BJ21" s="92"/>
      <c r="BK21" s="92"/>
      <c r="BL21" s="93"/>
      <c r="BM21" s="91"/>
      <c r="BN21" s="92"/>
      <c r="BO21" s="92"/>
      <c r="BP21" s="92"/>
      <c r="BQ21" s="93"/>
      <c r="BR21" s="112"/>
      <c r="BS21" s="113"/>
      <c r="BT21" s="113"/>
      <c r="BU21" s="113"/>
      <c r="BV21" s="113"/>
      <c r="BW21" s="113"/>
      <c r="BX21" s="113"/>
      <c r="BY21" s="114"/>
      <c r="BZ21" s="118"/>
      <c r="CA21" s="119"/>
      <c r="CB21" s="119"/>
      <c r="CC21" s="119"/>
      <c r="CD21" s="120"/>
      <c r="CE21" s="124"/>
      <c r="CF21" s="125"/>
      <c r="CG21" s="125"/>
      <c r="CH21" s="125"/>
      <c r="CI21" s="126"/>
      <c r="CJ21" s="143"/>
      <c r="CK21" s="144"/>
      <c r="CL21" s="144"/>
      <c r="CM21" s="144"/>
      <c r="CN21" s="145"/>
      <c r="CO21" s="136"/>
      <c r="CP21" s="137"/>
      <c r="CQ21" s="137"/>
      <c r="CR21" s="137"/>
      <c r="CS21" s="137"/>
      <c r="CT21" s="138"/>
    </row>
    <row r="22" spans="1:98" ht="25.4" customHeight="1" x14ac:dyDescent="0.55000000000000004">
      <c r="A22" s="74">
        <v>4</v>
      </c>
      <c r="B22" s="76" t="s">
        <v>43</v>
      </c>
      <c r="C22" s="77"/>
      <c r="D22" s="77"/>
      <c r="E22" s="77"/>
      <c r="F22" s="77"/>
      <c r="G22" s="77"/>
      <c r="H22" s="77"/>
      <c r="I22" s="78"/>
      <c r="J22" s="82" t="s">
        <v>17</v>
      </c>
      <c r="K22" s="83"/>
      <c r="L22" s="83"/>
      <c r="M22" s="83"/>
      <c r="N22" s="83"/>
      <c r="O22" s="84"/>
      <c r="P22" s="88">
        <v>2</v>
      </c>
      <c r="Q22" s="89"/>
      <c r="R22" s="89"/>
      <c r="S22" s="89"/>
      <c r="T22" s="90"/>
      <c r="U22" s="94" t="s">
        <v>53</v>
      </c>
      <c r="V22" s="95"/>
      <c r="W22" s="95"/>
      <c r="X22" s="95"/>
      <c r="Y22" s="96"/>
      <c r="Z22" s="121" t="s">
        <v>47</v>
      </c>
      <c r="AA22" s="122"/>
      <c r="AB22" s="122"/>
      <c r="AC22" s="122"/>
      <c r="AD22" s="123"/>
      <c r="AE22" s="139" t="s">
        <v>19</v>
      </c>
      <c r="AF22" s="122"/>
      <c r="AG22" s="122"/>
      <c r="AH22" s="122"/>
      <c r="AI22" s="123"/>
      <c r="AJ22" s="88">
        <v>4</v>
      </c>
      <c r="AK22" s="89"/>
      <c r="AL22" s="89"/>
      <c r="AM22" s="89"/>
      <c r="AN22" s="90"/>
      <c r="AO22" s="140" t="s">
        <v>46</v>
      </c>
      <c r="AP22" s="141"/>
      <c r="AQ22" s="141"/>
      <c r="AR22" s="141"/>
      <c r="AS22" s="142"/>
      <c r="AT22" s="146">
        <v>68000</v>
      </c>
      <c r="AU22" s="147"/>
      <c r="AV22" s="147"/>
      <c r="AW22" s="147"/>
      <c r="AX22" s="147"/>
      <c r="AY22" s="147"/>
      <c r="AZ22" s="148"/>
      <c r="BA22" s="9"/>
      <c r="BB22" s="9"/>
      <c r="BC22" s="9"/>
      <c r="BD22" s="10"/>
      <c r="BG22" s="82" t="str">
        <f>J22</f>
        <v>日立</v>
      </c>
      <c r="BH22" s="89"/>
      <c r="BI22" s="89"/>
      <c r="BJ22" s="89"/>
      <c r="BK22" s="89"/>
      <c r="BL22" s="90"/>
      <c r="BM22" s="88">
        <f>+P22</f>
        <v>2</v>
      </c>
      <c r="BN22" s="89"/>
      <c r="BO22" s="89"/>
      <c r="BP22" s="89"/>
      <c r="BQ22" s="90"/>
      <c r="BR22" s="109" t="s">
        <v>21</v>
      </c>
      <c r="BS22" s="110"/>
      <c r="BT22" s="110"/>
      <c r="BU22" s="110"/>
      <c r="BV22" s="110"/>
      <c r="BW22" s="110"/>
      <c r="BX22" s="110"/>
      <c r="BY22" s="111"/>
      <c r="BZ22" s="115" t="s">
        <v>47</v>
      </c>
      <c r="CA22" s="116"/>
      <c r="CB22" s="116"/>
      <c r="CC22" s="116"/>
      <c r="CD22" s="117"/>
      <c r="CE22" s="121" t="s">
        <v>51</v>
      </c>
      <c r="CF22" s="122"/>
      <c r="CG22" s="122"/>
      <c r="CH22" s="122"/>
      <c r="CI22" s="123"/>
      <c r="CJ22" s="140" t="s">
        <v>46</v>
      </c>
      <c r="CK22" s="141"/>
      <c r="CL22" s="141"/>
      <c r="CM22" s="141"/>
      <c r="CN22" s="142"/>
      <c r="CO22" s="133">
        <f>27000*BM22</f>
        <v>54000</v>
      </c>
      <c r="CP22" s="134"/>
      <c r="CQ22" s="134"/>
      <c r="CR22" s="134"/>
      <c r="CS22" s="134"/>
      <c r="CT22" s="135"/>
    </row>
    <row r="23" spans="1:98" ht="25.4" customHeight="1" x14ac:dyDescent="0.55000000000000004">
      <c r="A23" s="75"/>
      <c r="B23" s="79"/>
      <c r="C23" s="80"/>
      <c r="D23" s="80"/>
      <c r="E23" s="80"/>
      <c r="F23" s="80"/>
      <c r="G23" s="80"/>
      <c r="H23" s="80"/>
      <c r="I23" s="81"/>
      <c r="J23" s="85"/>
      <c r="K23" s="86"/>
      <c r="L23" s="86"/>
      <c r="M23" s="86"/>
      <c r="N23" s="86"/>
      <c r="O23" s="87"/>
      <c r="P23" s="91"/>
      <c r="Q23" s="92"/>
      <c r="R23" s="92"/>
      <c r="S23" s="92"/>
      <c r="T23" s="93"/>
      <c r="U23" s="97"/>
      <c r="V23" s="98"/>
      <c r="W23" s="98"/>
      <c r="X23" s="98"/>
      <c r="Y23" s="99"/>
      <c r="Z23" s="124"/>
      <c r="AA23" s="125"/>
      <c r="AB23" s="125"/>
      <c r="AC23" s="125"/>
      <c r="AD23" s="126"/>
      <c r="AE23" s="124"/>
      <c r="AF23" s="125"/>
      <c r="AG23" s="125"/>
      <c r="AH23" s="125"/>
      <c r="AI23" s="126"/>
      <c r="AJ23" s="91"/>
      <c r="AK23" s="92"/>
      <c r="AL23" s="92"/>
      <c r="AM23" s="92"/>
      <c r="AN23" s="93"/>
      <c r="AO23" s="143"/>
      <c r="AP23" s="144"/>
      <c r="AQ23" s="144"/>
      <c r="AR23" s="144"/>
      <c r="AS23" s="145"/>
      <c r="AT23" s="149"/>
      <c r="AU23" s="150"/>
      <c r="AV23" s="150"/>
      <c r="AW23" s="150"/>
      <c r="AX23" s="150"/>
      <c r="AY23" s="150"/>
      <c r="AZ23" s="151"/>
      <c r="BA23" s="9"/>
      <c r="BB23" s="9"/>
      <c r="BC23" s="9"/>
      <c r="BD23" s="10"/>
      <c r="BG23" s="91"/>
      <c r="BH23" s="92"/>
      <c r="BI23" s="92"/>
      <c r="BJ23" s="92"/>
      <c r="BK23" s="92"/>
      <c r="BL23" s="93"/>
      <c r="BM23" s="91"/>
      <c r="BN23" s="92"/>
      <c r="BO23" s="92"/>
      <c r="BP23" s="92"/>
      <c r="BQ23" s="93"/>
      <c r="BR23" s="112"/>
      <c r="BS23" s="113"/>
      <c r="BT23" s="113"/>
      <c r="BU23" s="113"/>
      <c r="BV23" s="113"/>
      <c r="BW23" s="113"/>
      <c r="BX23" s="113"/>
      <c r="BY23" s="114"/>
      <c r="BZ23" s="118"/>
      <c r="CA23" s="119"/>
      <c r="CB23" s="119"/>
      <c r="CC23" s="119"/>
      <c r="CD23" s="120"/>
      <c r="CE23" s="124"/>
      <c r="CF23" s="125"/>
      <c r="CG23" s="125"/>
      <c r="CH23" s="125"/>
      <c r="CI23" s="126"/>
      <c r="CJ23" s="143"/>
      <c r="CK23" s="144"/>
      <c r="CL23" s="144"/>
      <c r="CM23" s="144"/>
      <c r="CN23" s="145"/>
      <c r="CO23" s="136"/>
      <c r="CP23" s="137"/>
      <c r="CQ23" s="137"/>
      <c r="CR23" s="137"/>
      <c r="CS23" s="137"/>
      <c r="CT23" s="138"/>
    </row>
    <row r="24" spans="1:98" ht="25.4" customHeight="1" x14ac:dyDescent="0.55000000000000004">
      <c r="A24" s="74">
        <v>5</v>
      </c>
      <c r="B24" s="76" t="s">
        <v>44</v>
      </c>
      <c r="C24" s="77"/>
      <c r="D24" s="77"/>
      <c r="E24" s="77"/>
      <c r="F24" s="77"/>
      <c r="G24" s="77"/>
      <c r="H24" s="77"/>
      <c r="I24" s="78"/>
      <c r="J24" s="82" t="s">
        <v>49</v>
      </c>
      <c r="K24" s="83"/>
      <c r="L24" s="83"/>
      <c r="M24" s="83"/>
      <c r="N24" s="83"/>
      <c r="O24" s="84"/>
      <c r="P24" s="88">
        <v>1</v>
      </c>
      <c r="Q24" s="89"/>
      <c r="R24" s="89"/>
      <c r="S24" s="89"/>
      <c r="T24" s="90"/>
      <c r="U24" s="94" t="s">
        <v>53</v>
      </c>
      <c r="V24" s="95"/>
      <c r="W24" s="95"/>
      <c r="X24" s="95"/>
      <c r="Y24" s="96"/>
      <c r="Z24" s="121" t="s">
        <v>47</v>
      </c>
      <c r="AA24" s="122"/>
      <c r="AB24" s="122"/>
      <c r="AC24" s="122"/>
      <c r="AD24" s="123"/>
      <c r="AE24" s="139" t="s">
        <v>19</v>
      </c>
      <c r="AF24" s="122"/>
      <c r="AG24" s="122"/>
      <c r="AH24" s="122"/>
      <c r="AI24" s="123"/>
      <c r="AJ24" s="88">
        <v>4</v>
      </c>
      <c r="AK24" s="89"/>
      <c r="AL24" s="89"/>
      <c r="AM24" s="89"/>
      <c r="AN24" s="90"/>
      <c r="AO24" s="140" t="s">
        <v>46</v>
      </c>
      <c r="AP24" s="141"/>
      <c r="AQ24" s="141"/>
      <c r="AR24" s="141"/>
      <c r="AS24" s="142"/>
      <c r="AT24" s="146">
        <v>30000</v>
      </c>
      <c r="AU24" s="147"/>
      <c r="AV24" s="147"/>
      <c r="AW24" s="147"/>
      <c r="AX24" s="147"/>
      <c r="AY24" s="147"/>
      <c r="AZ24" s="148"/>
      <c r="BA24" s="9"/>
      <c r="BB24" s="9"/>
      <c r="BC24" s="9"/>
      <c r="BD24" s="10"/>
      <c r="BG24" s="82" t="str">
        <f>J24</f>
        <v>三菱</v>
      </c>
      <c r="BH24" s="89"/>
      <c r="BI24" s="89"/>
      <c r="BJ24" s="89"/>
      <c r="BK24" s="89"/>
      <c r="BL24" s="90"/>
      <c r="BM24" s="88">
        <f>+P24</f>
        <v>1</v>
      </c>
      <c r="BN24" s="89"/>
      <c r="BO24" s="89"/>
      <c r="BP24" s="89"/>
      <c r="BQ24" s="90"/>
      <c r="BR24" s="109" t="s">
        <v>21</v>
      </c>
      <c r="BS24" s="110"/>
      <c r="BT24" s="110"/>
      <c r="BU24" s="110"/>
      <c r="BV24" s="110"/>
      <c r="BW24" s="110"/>
      <c r="BX24" s="110"/>
      <c r="BY24" s="111"/>
      <c r="BZ24" s="115" t="s">
        <v>47</v>
      </c>
      <c r="CA24" s="116"/>
      <c r="CB24" s="116"/>
      <c r="CC24" s="116"/>
      <c r="CD24" s="117"/>
      <c r="CE24" s="121" t="s">
        <v>51</v>
      </c>
      <c r="CF24" s="122"/>
      <c r="CG24" s="122"/>
      <c r="CH24" s="122"/>
      <c r="CI24" s="123"/>
      <c r="CJ24" s="140" t="s">
        <v>46</v>
      </c>
      <c r="CK24" s="141"/>
      <c r="CL24" s="141"/>
      <c r="CM24" s="141"/>
      <c r="CN24" s="142"/>
      <c r="CO24" s="133">
        <v>27000</v>
      </c>
      <c r="CP24" s="134"/>
      <c r="CQ24" s="134"/>
      <c r="CR24" s="134"/>
      <c r="CS24" s="134"/>
      <c r="CT24" s="135"/>
    </row>
    <row r="25" spans="1:98" ht="25.4" customHeight="1" x14ac:dyDescent="0.55000000000000004">
      <c r="A25" s="75"/>
      <c r="B25" s="79"/>
      <c r="C25" s="80"/>
      <c r="D25" s="80"/>
      <c r="E25" s="80"/>
      <c r="F25" s="80"/>
      <c r="G25" s="80"/>
      <c r="H25" s="80"/>
      <c r="I25" s="81"/>
      <c r="J25" s="85"/>
      <c r="K25" s="86"/>
      <c r="L25" s="86"/>
      <c r="M25" s="86"/>
      <c r="N25" s="86"/>
      <c r="O25" s="87"/>
      <c r="P25" s="91"/>
      <c r="Q25" s="92"/>
      <c r="R25" s="92"/>
      <c r="S25" s="92"/>
      <c r="T25" s="93"/>
      <c r="U25" s="97"/>
      <c r="V25" s="98"/>
      <c r="W25" s="98"/>
      <c r="X25" s="98"/>
      <c r="Y25" s="99"/>
      <c r="Z25" s="124"/>
      <c r="AA25" s="125"/>
      <c r="AB25" s="125"/>
      <c r="AC25" s="125"/>
      <c r="AD25" s="126"/>
      <c r="AE25" s="124"/>
      <c r="AF25" s="125"/>
      <c r="AG25" s="125"/>
      <c r="AH25" s="125"/>
      <c r="AI25" s="126"/>
      <c r="AJ25" s="91"/>
      <c r="AK25" s="92"/>
      <c r="AL25" s="92"/>
      <c r="AM25" s="92"/>
      <c r="AN25" s="93"/>
      <c r="AO25" s="143"/>
      <c r="AP25" s="144"/>
      <c r="AQ25" s="144"/>
      <c r="AR25" s="144"/>
      <c r="AS25" s="145"/>
      <c r="AT25" s="149"/>
      <c r="AU25" s="150"/>
      <c r="AV25" s="150"/>
      <c r="AW25" s="150"/>
      <c r="AX25" s="150"/>
      <c r="AY25" s="150"/>
      <c r="AZ25" s="151"/>
      <c r="BA25" s="9"/>
      <c r="BB25" s="9"/>
      <c r="BC25" s="9"/>
      <c r="BD25" s="10"/>
      <c r="BG25" s="91"/>
      <c r="BH25" s="92"/>
      <c r="BI25" s="92"/>
      <c r="BJ25" s="92"/>
      <c r="BK25" s="92"/>
      <c r="BL25" s="93"/>
      <c r="BM25" s="91"/>
      <c r="BN25" s="92"/>
      <c r="BO25" s="92"/>
      <c r="BP25" s="92"/>
      <c r="BQ25" s="93"/>
      <c r="BR25" s="112"/>
      <c r="BS25" s="113"/>
      <c r="BT25" s="113"/>
      <c r="BU25" s="113"/>
      <c r="BV25" s="113"/>
      <c r="BW25" s="113"/>
      <c r="BX25" s="113"/>
      <c r="BY25" s="114"/>
      <c r="BZ25" s="118"/>
      <c r="CA25" s="119"/>
      <c r="CB25" s="119"/>
      <c r="CC25" s="119"/>
      <c r="CD25" s="120"/>
      <c r="CE25" s="124"/>
      <c r="CF25" s="125"/>
      <c r="CG25" s="125"/>
      <c r="CH25" s="125"/>
      <c r="CI25" s="126"/>
      <c r="CJ25" s="143"/>
      <c r="CK25" s="144"/>
      <c r="CL25" s="144"/>
      <c r="CM25" s="144"/>
      <c r="CN25" s="145"/>
      <c r="CO25" s="136"/>
      <c r="CP25" s="137"/>
      <c r="CQ25" s="137"/>
      <c r="CR25" s="137"/>
      <c r="CS25" s="137"/>
      <c r="CT25" s="138"/>
    </row>
    <row r="26" spans="1:98" ht="25.4" customHeight="1" x14ac:dyDescent="0.55000000000000004">
      <c r="A26" s="74">
        <v>6</v>
      </c>
      <c r="B26" s="76" t="s">
        <v>45</v>
      </c>
      <c r="C26" s="77"/>
      <c r="D26" s="77"/>
      <c r="E26" s="77"/>
      <c r="F26" s="77"/>
      <c r="G26" s="77"/>
      <c r="H26" s="77"/>
      <c r="I26" s="78"/>
      <c r="J26" s="82" t="s">
        <v>50</v>
      </c>
      <c r="K26" s="83"/>
      <c r="L26" s="83"/>
      <c r="M26" s="83"/>
      <c r="N26" s="83"/>
      <c r="O26" s="84"/>
      <c r="P26" s="88">
        <v>1</v>
      </c>
      <c r="Q26" s="89"/>
      <c r="R26" s="89"/>
      <c r="S26" s="89"/>
      <c r="T26" s="90"/>
      <c r="U26" s="94" t="s">
        <v>53</v>
      </c>
      <c r="V26" s="95"/>
      <c r="W26" s="95"/>
      <c r="X26" s="95"/>
      <c r="Y26" s="96"/>
      <c r="Z26" s="121" t="s">
        <v>47</v>
      </c>
      <c r="AA26" s="122"/>
      <c r="AB26" s="122"/>
      <c r="AC26" s="122"/>
      <c r="AD26" s="123"/>
      <c r="AE26" s="139" t="s">
        <v>19</v>
      </c>
      <c r="AF26" s="122"/>
      <c r="AG26" s="122"/>
      <c r="AH26" s="122"/>
      <c r="AI26" s="123"/>
      <c r="AJ26" s="88">
        <v>5</v>
      </c>
      <c r="AK26" s="89"/>
      <c r="AL26" s="89"/>
      <c r="AM26" s="89"/>
      <c r="AN26" s="90"/>
      <c r="AO26" s="140" t="s">
        <v>46</v>
      </c>
      <c r="AP26" s="141"/>
      <c r="AQ26" s="141"/>
      <c r="AR26" s="141"/>
      <c r="AS26" s="142"/>
      <c r="AT26" s="146">
        <v>34000</v>
      </c>
      <c r="AU26" s="147"/>
      <c r="AV26" s="147"/>
      <c r="AW26" s="147"/>
      <c r="AX26" s="147"/>
      <c r="AY26" s="147"/>
      <c r="AZ26" s="148"/>
      <c r="BA26" s="9"/>
      <c r="BB26" s="9"/>
      <c r="BC26" s="9"/>
      <c r="BD26" s="10"/>
      <c r="BG26" s="82" t="str">
        <f>J26</f>
        <v>東芝</v>
      </c>
      <c r="BH26" s="89"/>
      <c r="BI26" s="89"/>
      <c r="BJ26" s="89"/>
      <c r="BK26" s="89"/>
      <c r="BL26" s="90"/>
      <c r="BM26" s="88">
        <f>+P26</f>
        <v>1</v>
      </c>
      <c r="BN26" s="89"/>
      <c r="BO26" s="89"/>
      <c r="BP26" s="89"/>
      <c r="BQ26" s="90"/>
      <c r="BR26" s="109" t="s">
        <v>21</v>
      </c>
      <c r="BS26" s="110"/>
      <c r="BT26" s="110"/>
      <c r="BU26" s="110"/>
      <c r="BV26" s="110"/>
      <c r="BW26" s="110"/>
      <c r="BX26" s="110"/>
      <c r="BY26" s="111"/>
      <c r="BZ26" s="115" t="s">
        <v>47</v>
      </c>
      <c r="CA26" s="116"/>
      <c r="CB26" s="116"/>
      <c r="CC26" s="116"/>
      <c r="CD26" s="117"/>
      <c r="CE26" s="121" t="s">
        <v>51</v>
      </c>
      <c r="CF26" s="122"/>
      <c r="CG26" s="122"/>
      <c r="CH26" s="122"/>
      <c r="CI26" s="123"/>
      <c r="CJ26" s="140" t="s">
        <v>46</v>
      </c>
      <c r="CK26" s="141"/>
      <c r="CL26" s="141"/>
      <c r="CM26" s="141"/>
      <c r="CN26" s="142"/>
      <c r="CO26" s="133">
        <v>27000</v>
      </c>
      <c r="CP26" s="134"/>
      <c r="CQ26" s="134"/>
      <c r="CR26" s="134"/>
      <c r="CS26" s="134"/>
      <c r="CT26" s="135"/>
    </row>
    <row r="27" spans="1:98" ht="25.4" customHeight="1" x14ac:dyDescent="0.55000000000000004">
      <c r="A27" s="75"/>
      <c r="B27" s="79"/>
      <c r="C27" s="80"/>
      <c r="D27" s="80"/>
      <c r="E27" s="80"/>
      <c r="F27" s="80"/>
      <c r="G27" s="80"/>
      <c r="H27" s="80"/>
      <c r="I27" s="81"/>
      <c r="J27" s="85"/>
      <c r="K27" s="86"/>
      <c r="L27" s="86"/>
      <c r="M27" s="86"/>
      <c r="N27" s="86"/>
      <c r="O27" s="87"/>
      <c r="P27" s="91"/>
      <c r="Q27" s="92"/>
      <c r="R27" s="92"/>
      <c r="S27" s="92"/>
      <c r="T27" s="93"/>
      <c r="U27" s="97"/>
      <c r="V27" s="98"/>
      <c r="W27" s="98"/>
      <c r="X27" s="98"/>
      <c r="Y27" s="99"/>
      <c r="Z27" s="124"/>
      <c r="AA27" s="125"/>
      <c r="AB27" s="125"/>
      <c r="AC27" s="125"/>
      <c r="AD27" s="126"/>
      <c r="AE27" s="124"/>
      <c r="AF27" s="125"/>
      <c r="AG27" s="125"/>
      <c r="AH27" s="125"/>
      <c r="AI27" s="126"/>
      <c r="AJ27" s="91"/>
      <c r="AK27" s="92"/>
      <c r="AL27" s="92"/>
      <c r="AM27" s="92"/>
      <c r="AN27" s="93"/>
      <c r="AO27" s="143"/>
      <c r="AP27" s="144"/>
      <c r="AQ27" s="144"/>
      <c r="AR27" s="144"/>
      <c r="AS27" s="145"/>
      <c r="AT27" s="149"/>
      <c r="AU27" s="150"/>
      <c r="AV27" s="150"/>
      <c r="AW27" s="150"/>
      <c r="AX27" s="150"/>
      <c r="AY27" s="150"/>
      <c r="AZ27" s="151"/>
      <c r="BA27" s="9"/>
      <c r="BB27" s="9"/>
      <c r="BC27" s="9"/>
      <c r="BD27" s="10"/>
      <c r="BG27" s="91"/>
      <c r="BH27" s="92"/>
      <c r="BI27" s="92"/>
      <c r="BJ27" s="92"/>
      <c r="BK27" s="92"/>
      <c r="BL27" s="93"/>
      <c r="BM27" s="91"/>
      <c r="BN27" s="92"/>
      <c r="BO27" s="92"/>
      <c r="BP27" s="92"/>
      <c r="BQ27" s="93"/>
      <c r="BR27" s="112"/>
      <c r="BS27" s="113"/>
      <c r="BT27" s="113"/>
      <c r="BU27" s="113"/>
      <c r="BV27" s="113"/>
      <c r="BW27" s="113"/>
      <c r="BX27" s="113"/>
      <c r="BY27" s="114"/>
      <c r="BZ27" s="118"/>
      <c r="CA27" s="119"/>
      <c r="CB27" s="119"/>
      <c r="CC27" s="119"/>
      <c r="CD27" s="120"/>
      <c r="CE27" s="124"/>
      <c r="CF27" s="125"/>
      <c r="CG27" s="125"/>
      <c r="CH27" s="125"/>
      <c r="CI27" s="126"/>
      <c r="CJ27" s="143"/>
      <c r="CK27" s="144"/>
      <c r="CL27" s="144"/>
      <c r="CM27" s="144"/>
      <c r="CN27" s="145"/>
      <c r="CO27" s="136"/>
      <c r="CP27" s="137"/>
      <c r="CQ27" s="137"/>
      <c r="CR27" s="137"/>
      <c r="CS27" s="137"/>
      <c r="CT27" s="138"/>
    </row>
    <row r="28" spans="1:98" ht="25.4" customHeight="1" x14ac:dyDescent="0.55000000000000004">
      <c r="A28" s="74">
        <v>7</v>
      </c>
      <c r="B28" s="76" t="s">
        <v>55</v>
      </c>
      <c r="C28" s="77"/>
      <c r="D28" s="77"/>
      <c r="E28" s="77"/>
      <c r="F28" s="77"/>
      <c r="G28" s="77"/>
      <c r="H28" s="77"/>
      <c r="I28" s="78"/>
      <c r="J28" s="82" t="s">
        <v>57</v>
      </c>
      <c r="K28" s="83"/>
      <c r="L28" s="83"/>
      <c r="M28" s="83"/>
      <c r="N28" s="83"/>
      <c r="O28" s="84"/>
      <c r="P28" s="88">
        <v>1</v>
      </c>
      <c r="Q28" s="89"/>
      <c r="R28" s="89"/>
      <c r="S28" s="89"/>
      <c r="T28" s="90"/>
      <c r="U28" s="94" t="s">
        <v>58</v>
      </c>
      <c r="V28" s="95"/>
      <c r="W28" s="95"/>
      <c r="X28" s="95"/>
      <c r="Y28" s="96"/>
      <c r="Z28" s="121" t="s">
        <v>59</v>
      </c>
      <c r="AA28" s="122"/>
      <c r="AB28" s="122"/>
      <c r="AC28" s="122"/>
      <c r="AD28" s="123"/>
      <c r="AE28" s="139" t="s">
        <v>19</v>
      </c>
      <c r="AF28" s="122"/>
      <c r="AG28" s="122"/>
      <c r="AH28" s="122"/>
      <c r="AI28" s="123"/>
      <c r="AJ28" s="88">
        <v>10</v>
      </c>
      <c r="AK28" s="89"/>
      <c r="AL28" s="89"/>
      <c r="AM28" s="89"/>
      <c r="AN28" s="90"/>
      <c r="AO28" s="140" t="s">
        <v>46</v>
      </c>
      <c r="AP28" s="141"/>
      <c r="AQ28" s="141"/>
      <c r="AR28" s="141"/>
      <c r="AS28" s="142"/>
      <c r="AT28" s="146">
        <v>60000</v>
      </c>
      <c r="AU28" s="147"/>
      <c r="AV28" s="147"/>
      <c r="AW28" s="147"/>
      <c r="AX28" s="147"/>
      <c r="AY28" s="147"/>
      <c r="AZ28" s="148"/>
      <c r="BA28" s="9"/>
      <c r="BB28" s="9"/>
      <c r="BC28" s="9"/>
      <c r="BD28" s="10"/>
      <c r="BG28" s="82" t="str">
        <f>J28</f>
        <v>オーチス</v>
      </c>
      <c r="BH28" s="89"/>
      <c r="BI28" s="89"/>
      <c r="BJ28" s="89"/>
      <c r="BK28" s="89"/>
      <c r="BL28" s="90"/>
      <c r="BM28" s="88">
        <f>+P28</f>
        <v>1</v>
      </c>
      <c r="BN28" s="89"/>
      <c r="BO28" s="89"/>
      <c r="BP28" s="89"/>
      <c r="BQ28" s="90"/>
      <c r="BR28" s="109" t="s">
        <v>21</v>
      </c>
      <c r="BS28" s="110"/>
      <c r="BT28" s="110"/>
      <c r="BU28" s="110"/>
      <c r="BV28" s="110"/>
      <c r="BW28" s="110"/>
      <c r="BX28" s="110"/>
      <c r="BY28" s="111"/>
      <c r="BZ28" s="115" t="s">
        <v>18</v>
      </c>
      <c r="CA28" s="116"/>
      <c r="CB28" s="116"/>
      <c r="CC28" s="116"/>
      <c r="CD28" s="117"/>
      <c r="CE28" s="121" t="s">
        <v>51</v>
      </c>
      <c r="CF28" s="122"/>
      <c r="CG28" s="122"/>
      <c r="CH28" s="122"/>
      <c r="CI28" s="123"/>
      <c r="CJ28" s="140" t="s">
        <v>46</v>
      </c>
      <c r="CK28" s="141"/>
      <c r="CL28" s="141"/>
      <c r="CM28" s="141"/>
      <c r="CN28" s="142"/>
      <c r="CO28" s="133">
        <v>32000</v>
      </c>
      <c r="CP28" s="134"/>
      <c r="CQ28" s="134"/>
      <c r="CR28" s="134"/>
      <c r="CS28" s="134"/>
      <c r="CT28" s="135"/>
    </row>
    <row r="29" spans="1:98" ht="25.4" customHeight="1" x14ac:dyDescent="0.55000000000000004">
      <c r="A29" s="75"/>
      <c r="B29" s="79"/>
      <c r="C29" s="80"/>
      <c r="D29" s="80"/>
      <c r="E29" s="80"/>
      <c r="F29" s="80"/>
      <c r="G29" s="80"/>
      <c r="H29" s="80"/>
      <c r="I29" s="81"/>
      <c r="J29" s="85"/>
      <c r="K29" s="86"/>
      <c r="L29" s="86"/>
      <c r="M29" s="86"/>
      <c r="N29" s="86"/>
      <c r="O29" s="87"/>
      <c r="P29" s="91"/>
      <c r="Q29" s="92"/>
      <c r="R29" s="92"/>
      <c r="S29" s="92"/>
      <c r="T29" s="93"/>
      <c r="U29" s="97"/>
      <c r="V29" s="98"/>
      <c r="W29" s="98"/>
      <c r="X29" s="98"/>
      <c r="Y29" s="99"/>
      <c r="Z29" s="124"/>
      <c r="AA29" s="125"/>
      <c r="AB29" s="125"/>
      <c r="AC29" s="125"/>
      <c r="AD29" s="126"/>
      <c r="AE29" s="124"/>
      <c r="AF29" s="125"/>
      <c r="AG29" s="125"/>
      <c r="AH29" s="125"/>
      <c r="AI29" s="126"/>
      <c r="AJ29" s="91"/>
      <c r="AK29" s="92"/>
      <c r="AL29" s="92"/>
      <c r="AM29" s="92"/>
      <c r="AN29" s="93"/>
      <c r="AO29" s="143"/>
      <c r="AP29" s="144"/>
      <c r="AQ29" s="144"/>
      <c r="AR29" s="144"/>
      <c r="AS29" s="145"/>
      <c r="AT29" s="149"/>
      <c r="AU29" s="150"/>
      <c r="AV29" s="150"/>
      <c r="AW29" s="150"/>
      <c r="AX29" s="150"/>
      <c r="AY29" s="150"/>
      <c r="AZ29" s="151"/>
      <c r="BA29" s="9"/>
      <c r="BB29" s="9"/>
      <c r="BC29" s="9"/>
      <c r="BD29" s="10"/>
      <c r="BG29" s="91"/>
      <c r="BH29" s="92"/>
      <c r="BI29" s="92"/>
      <c r="BJ29" s="92"/>
      <c r="BK29" s="92"/>
      <c r="BL29" s="93"/>
      <c r="BM29" s="91"/>
      <c r="BN29" s="92"/>
      <c r="BO29" s="92"/>
      <c r="BP29" s="92"/>
      <c r="BQ29" s="93"/>
      <c r="BR29" s="112"/>
      <c r="BS29" s="113"/>
      <c r="BT29" s="113"/>
      <c r="BU29" s="113"/>
      <c r="BV29" s="113"/>
      <c r="BW29" s="113"/>
      <c r="BX29" s="113"/>
      <c r="BY29" s="114"/>
      <c r="BZ29" s="118"/>
      <c r="CA29" s="119"/>
      <c r="CB29" s="119"/>
      <c r="CC29" s="119"/>
      <c r="CD29" s="120"/>
      <c r="CE29" s="124"/>
      <c r="CF29" s="125"/>
      <c r="CG29" s="125"/>
      <c r="CH29" s="125"/>
      <c r="CI29" s="126"/>
      <c r="CJ29" s="143"/>
      <c r="CK29" s="144"/>
      <c r="CL29" s="144"/>
      <c r="CM29" s="144"/>
      <c r="CN29" s="145"/>
      <c r="CO29" s="136"/>
      <c r="CP29" s="137"/>
      <c r="CQ29" s="137"/>
      <c r="CR29" s="137"/>
      <c r="CS29" s="137"/>
      <c r="CT29" s="138"/>
    </row>
    <row r="30" spans="1:98" ht="25.4" customHeight="1" x14ac:dyDescent="0.55000000000000004">
      <c r="A30" s="74">
        <v>8</v>
      </c>
      <c r="B30" s="76" t="s">
        <v>56</v>
      </c>
      <c r="C30" s="77"/>
      <c r="D30" s="77"/>
      <c r="E30" s="77"/>
      <c r="F30" s="77"/>
      <c r="G30" s="77"/>
      <c r="H30" s="77"/>
      <c r="I30" s="78"/>
      <c r="J30" s="82" t="s">
        <v>57</v>
      </c>
      <c r="K30" s="83"/>
      <c r="L30" s="83"/>
      <c r="M30" s="83"/>
      <c r="N30" s="83"/>
      <c r="O30" s="84"/>
      <c r="P30" s="88">
        <v>1</v>
      </c>
      <c r="Q30" s="89"/>
      <c r="R30" s="89"/>
      <c r="S30" s="89"/>
      <c r="T30" s="90"/>
      <c r="U30" s="94" t="s">
        <v>58</v>
      </c>
      <c r="V30" s="95"/>
      <c r="W30" s="95"/>
      <c r="X30" s="95"/>
      <c r="Y30" s="96"/>
      <c r="Z30" s="121" t="s">
        <v>59</v>
      </c>
      <c r="AA30" s="122"/>
      <c r="AB30" s="122"/>
      <c r="AC30" s="122"/>
      <c r="AD30" s="123"/>
      <c r="AE30" s="139" t="s">
        <v>19</v>
      </c>
      <c r="AF30" s="122"/>
      <c r="AG30" s="122"/>
      <c r="AH30" s="122"/>
      <c r="AI30" s="123"/>
      <c r="AJ30" s="88">
        <v>10</v>
      </c>
      <c r="AK30" s="89"/>
      <c r="AL30" s="89"/>
      <c r="AM30" s="89"/>
      <c r="AN30" s="90"/>
      <c r="AO30" s="140" t="s">
        <v>46</v>
      </c>
      <c r="AP30" s="141"/>
      <c r="AQ30" s="141"/>
      <c r="AR30" s="141"/>
      <c r="AS30" s="142"/>
      <c r="AT30" s="146">
        <v>55000</v>
      </c>
      <c r="AU30" s="147"/>
      <c r="AV30" s="147"/>
      <c r="AW30" s="147"/>
      <c r="AX30" s="147"/>
      <c r="AY30" s="147"/>
      <c r="AZ30" s="148"/>
      <c r="BA30" s="9"/>
      <c r="BB30" s="9"/>
      <c r="BC30" s="9"/>
      <c r="BD30" s="10"/>
      <c r="BG30" s="82" t="str">
        <f>J30</f>
        <v>オーチス</v>
      </c>
      <c r="BH30" s="89"/>
      <c r="BI30" s="89"/>
      <c r="BJ30" s="89"/>
      <c r="BK30" s="89"/>
      <c r="BL30" s="90"/>
      <c r="BM30" s="88">
        <f>+P30</f>
        <v>1</v>
      </c>
      <c r="BN30" s="89"/>
      <c r="BO30" s="89"/>
      <c r="BP30" s="89"/>
      <c r="BQ30" s="90"/>
      <c r="BR30" s="109" t="s">
        <v>21</v>
      </c>
      <c r="BS30" s="110"/>
      <c r="BT30" s="110"/>
      <c r="BU30" s="110"/>
      <c r="BV30" s="110"/>
      <c r="BW30" s="110"/>
      <c r="BX30" s="110"/>
      <c r="BY30" s="111"/>
      <c r="BZ30" s="115" t="s">
        <v>18</v>
      </c>
      <c r="CA30" s="116"/>
      <c r="CB30" s="116"/>
      <c r="CC30" s="116"/>
      <c r="CD30" s="117"/>
      <c r="CE30" s="121" t="s">
        <v>51</v>
      </c>
      <c r="CF30" s="122"/>
      <c r="CG30" s="122"/>
      <c r="CH30" s="122"/>
      <c r="CI30" s="123"/>
      <c r="CJ30" s="140" t="s">
        <v>46</v>
      </c>
      <c r="CK30" s="141"/>
      <c r="CL30" s="141"/>
      <c r="CM30" s="141"/>
      <c r="CN30" s="142"/>
      <c r="CO30" s="133">
        <v>32000</v>
      </c>
      <c r="CP30" s="134"/>
      <c r="CQ30" s="134"/>
      <c r="CR30" s="134"/>
      <c r="CS30" s="134"/>
      <c r="CT30" s="135"/>
    </row>
    <row r="31" spans="1:98" ht="25.4" customHeight="1" x14ac:dyDescent="0.55000000000000004">
      <c r="A31" s="75"/>
      <c r="B31" s="79"/>
      <c r="C31" s="80"/>
      <c r="D31" s="80"/>
      <c r="E31" s="80"/>
      <c r="F31" s="80"/>
      <c r="G31" s="80"/>
      <c r="H31" s="80"/>
      <c r="I31" s="81"/>
      <c r="J31" s="85"/>
      <c r="K31" s="86"/>
      <c r="L31" s="86"/>
      <c r="M31" s="86"/>
      <c r="N31" s="86"/>
      <c r="O31" s="87"/>
      <c r="P31" s="91"/>
      <c r="Q31" s="92"/>
      <c r="R31" s="92"/>
      <c r="S31" s="92"/>
      <c r="T31" s="93"/>
      <c r="U31" s="97"/>
      <c r="V31" s="98"/>
      <c r="W31" s="98"/>
      <c r="X31" s="98"/>
      <c r="Y31" s="99"/>
      <c r="Z31" s="124"/>
      <c r="AA31" s="125"/>
      <c r="AB31" s="125"/>
      <c r="AC31" s="125"/>
      <c r="AD31" s="126"/>
      <c r="AE31" s="124"/>
      <c r="AF31" s="125"/>
      <c r="AG31" s="125"/>
      <c r="AH31" s="125"/>
      <c r="AI31" s="126"/>
      <c r="AJ31" s="91"/>
      <c r="AK31" s="92"/>
      <c r="AL31" s="92"/>
      <c r="AM31" s="92"/>
      <c r="AN31" s="93"/>
      <c r="AO31" s="143"/>
      <c r="AP31" s="144"/>
      <c r="AQ31" s="144"/>
      <c r="AR31" s="144"/>
      <c r="AS31" s="145"/>
      <c r="AT31" s="149"/>
      <c r="AU31" s="150"/>
      <c r="AV31" s="150"/>
      <c r="AW31" s="150"/>
      <c r="AX31" s="150"/>
      <c r="AY31" s="150"/>
      <c r="AZ31" s="151"/>
      <c r="BA31" s="9"/>
      <c r="BB31" s="9"/>
      <c r="BC31" s="9"/>
      <c r="BD31" s="10"/>
      <c r="BG31" s="91"/>
      <c r="BH31" s="92"/>
      <c r="BI31" s="92"/>
      <c r="BJ31" s="92"/>
      <c r="BK31" s="92"/>
      <c r="BL31" s="93"/>
      <c r="BM31" s="91"/>
      <c r="BN31" s="92"/>
      <c r="BO31" s="92"/>
      <c r="BP31" s="92"/>
      <c r="BQ31" s="93"/>
      <c r="BR31" s="112"/>
      <c r="BS31" s="113"/>
      <c r="BT31" s="113"/>
      <c r="BU31" s="113"/>
      <c r="BV31" s="113"/>
      <c r="BW31" s="113"/>
      <c r="BX31" s="113"/>
      <c r="BY31" s="114"/>
      <c r="BZ31" s="118"/>
      <c r="CA31" s="119"/>
      <c r="CB31" s="119"/>
      <c r="CC31" s="119"/>
      <c r="CD31" s="120"/>
      <c r="CE31" s="124"/>
      <c r="CF31" s="125"/>
      <c r="CG31" s="125"/>
      <c r="CH31" s="125"/>
      <c r="CI31" s="126"/>
      <c r="CJ31" s="143"/>
      <c r="CK31" s="144"/>
      <c r="CL31" s="144"/>
      <c r="CM31" s="144"/>
      <c r="CN31" s="145"/>
      <c r="CO31" s="136"/>
      <c r="CP31" s="137"/>
      <c r="CQ31" s="137"/>
      <c r="CR31" s="137"/>
      <c r="CS31" s="137"/>
      <c r="CT31" s="138"/>
    </row>
    <row r="32" spans="1:98" ht="28.4" customHeight="1" x14ac:dyDescent="0.55000000000000004">
      <c r="A32" s="1"/>
      <c r="B32" s="221" t="s">
        <v>22</v>
      </c>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52"/>
      <c r="AH32" s="152"/>
      <c r="AI32" s="152"/>
      <c r="AJ32" s="152"/>
      <c r="AK32" s="152"/>
      <c r="AL32" s="152"/>
      <c r="AM32" s="152"/>
      <c r="AN32" s="152"/>
      <c r="AO32" s="152"/>
      <c r="AP32" s="152"/>
      <c r="AQ32" s="152"/>
      <c r="AR32" s="152"/>
      <c r="AS32" s="153"/>
      <c r="AT32" s="223">
        <f>SUM(AT16:AZ31)</f>
        <v>379000</v>
      </c>
      <c r="AU32" s="224"/>
      <c r="AV32" s="224"/>
      <c r="AW32" s="224"/>
      <c r="AX32" s="224"/>
      <c r="AY32" s="224"/>
      <c r="AZ32" s="225"/>
      <c r="BA32" s="1"/>
      <c r="BB32" s="1"/>
      <c r="BC32" s="10"/>
      <c r="BD32" s="1"/>
      <c r="BG32" s="152" t="s">
        <v>22</v>
      </c>
      <c r="BH32" s="152"/>
      <c r="BI32" s="152"/>
      <c r="BJ32" s="152"/>
      <c r="BK32" s="152"/>
      <c r="BL32" s="152"/>
      <c r="BM32" s="152"/>
      <c r="BN32" s="152"/>
      <c r="BO32" s="152"/>
      <c r="BP32" s="152"/>
      <c r="BQ32" s="152"/>
      <c r="BR32" s="152"/>
      <c r="BS32" s="152"/>
      <c r="BT32" s="152"/>
      <c r="BU32" s="152"/>
      <c r="BV32" s="152"/>
      <c r="BW32" s="152"/>
      <c r="BX32" s="152"/>
      <c r="BY32" s="152"/>
      <c r="BZ32" s="152"/>
      <c r="CA32" s="152"/>
      <c r="CB32" s="152"/>
      <c r="CC32" s="152"/>
      <c r="CD32" s="152"/>
      <c r="CE32" s="152"/>
      <c r="CF32" s="152"/>
      <c r="CG32" s="152"/>
      <c r="CH32" s="152"/>
      <c r="CI32" s="152"/>
      <c r="CJ32" s="152"/>
      <c r="CK32" s="152"/>
      <c r="CL32" s="152"/>
      <c r="CM32" s="152"/>
      <c r="CN32" s="153"/>
      <c r="CO32" s="100">
        <f>SUM(CO16:CT31)</f>
        <v>309000</v>
      </c>
      <c r="CP32" s="101"/>
      <c r="CQ32" s="101"/>
      <c r="CR32" s="101"/>
      <c r="CS32" s="101"/>
      <c r="CT32" s="102"/>
    </row>
    <row r="33" spans="1:142" ht="28.4" customHeight="1" x14ac:dyDescent="0.25">
      <c r="A33" s="1"/>
      <c r="B33" s="222"/>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154"/>
      <c r="AD33" s="154"/>
      <c r="AE33" s="154"/>
      <c r="AF33" s="154"/>
      <c r="AG33" s="154"/>
      <c r="AH33" s="154"/>
      <c r="AI33" s="154"/>
      <c r="AJ33" s="154"/>
      <c r="AK33" s="154"/>
      <c r="AL33" s="154"/>
      <c r="AM33" s="154"/>
      <c r="AN33" s="154"/>
      <c r="AO33" s="154"/>
      <c r="AP33" s="154"/>
      <c r="AQ33" s="154"/>
      <c r="AR33" s="154"/>
      <c r="AS33" s="155"/>
      <c r="AT33" s="226"/>
      <c r="AU33" s="227"/>
      <c r="AV33" s="227"/>
      <c r="AW33" s="227"/>
      <c r="AX33" s="227"/>
      <c r="AY33" s="227"/>
      <c r="AZ33" s="228"/>
      <c r="BA33" s="1"/>
      <c r="BB33" s="1"/>
      <c r="BC33" s="10"/>
      <c r="BD33" s="1"/>
      <c r="BG33" s="154"/>
      <c r="BH33" s="154"/>
      <c r="BI33" s="154"/>
      <c r="BJ33" s="154"/>
      <c r="BK33" s="154"/>
      <c r="BL33" s="154"/>
      <c r="BM33" s="154"/>
      <c r="BN33" s="154"/>
      <c r="BO33" s="154"/>
      <c r="BP33" s="154"/>
      <c r="BQ33" s="154"/>
      <c r="BR33" s="154"/>
      <c r="BS33" s="154"/>
      <c r="BT33" s="154"/>
      <c r="BU33" s="154"/>
      <c r="BV33" s="154"/>
      <c r="BW33" s="154"/>
      <c r="BX33" s="154"/>
      <c r="BY33" s="154"/>
      <c r="BZ33" s="154"/>
      <c r="CA33" s="154"/>
      <c r="CB33" s="154"/>
      <c r="CC33" s="154"/>
      <c r="CD33" s="154"/>
      <c r="CE33" s="154"/>
      <c r="CF33" s="154"/>
      <c r="CG33" s="154"/>
      <c r="CH33" s="154"/>
      <c r="CI33" s="154"/>
      <c r="CJ33" s="154"/>
      <c r="CK33" s="154"/>
      <c r="CL33" s="154"/>
      <c r="CM33" s="154"/>
      <c r="CN33" s="155"/>
      <c r="CO33" s="103"/>
      <c r="CP33" s="104"/>
      <c r="CQ33" s="104"/>
      <c r="CR33" s="104"/>
      <c r="CS33" s="104"/>
      <c r="CT33" s="105"/>
      <c r="CX33" s="13"/>
      <c r="CY33" s="13"/>
    </row>
    <row r="34" spans="1:142" ht="16.5" customHeight="1" x14ac:dyDescent="0.25">
      <c r="A34" s="1"/>
      <c r="B34" s="15"/>
      <c r="C34" s="16"/>
      <c r="D34" s="16"/>
      <c r="E34" s="16"/>
      <c r="F34" s="16"/>
      <c r="G34" s="11"/>
      <c r="H34" s="11"/>
      <c r="I34" s="11"/>
      <c r="J34" s="11"/>
      <c r="K34" s="11"/>
      <c r="L34" s="11"/>
      <c r="M34" s="11"/>
      <c r="N34" s="11"/>
      <c r="O34" s="11"/>
      <c r="P34" s="17"/>
      <c r="Q34" s="17"/>
      <c r="R34" s="17"/>
      <c r="S34" s="17"/>
      <c r="T34" s="1"/>
      <c r="U34" s="11"/>
      <c r="V34" s="11"/>
      <c r="W34" s="11"/>
      <c r="X34" s="11"/>
      <c r="Y34" s="18"/>
      <c r="Z34" s="19"/>
      <c r="AA34" s="17"/>
      <c r="AB34" s="17"/>
      <c r="AC34" s="17"/>
      <c r="AD34" s="17"/>
      <c r="AE34" s="19"/>
      <c r="AF34" s="17"/>
      <c r="AG34" s="17"/>
      <c r="AH34" s="17"/>
      <c r="AI34" s="17"/>
      <c r="AJ34" s="19"/>
      <c r="AK34" s="17"/>
      <c r="AL34" s="17"/>
      <c r="AM34" s="17"/>
      <c r="AN34" s="17"/>
      <c r="AO34" s="17"/>
      <c r="AP34" s="17"/>
      <c r="AQ34" s="17"/>
      <c r="AR34" s="17"/>
      <c r="AS34" s="1"/>
      <c r="AT34" s="9"/>
      <c r="AU34" s="9"/>
      <c r="AV34" s="9"/>
      <c r="AW34" s="9"/>
      <c r="AX34" s="9"/>
      <c r="AY34" s="9"/>
      <c r="AZ34" s="10"/>
      <c r="BA34" s="10"/>
      <c r="BB34" s="10"/>
      <c r="BC34" s="10"/>
      <c r="BD34" s="10"/>
      <c r="BE34" s="10"/>
      <c r="BF34" s="10"/>
      <c r="BG34" s="10"/>
      <c r="BH34" s="1"/>
      <c r="BI34" s="1"/>
      <c r="BJ34" s="1"/>
      <c r="BK34" s="1"/>
      <c r="BL34" s="1"/>
      <c r="BM34" s="17"/>
      <c r="BN34" s="17"/>
      <c r="BO34" s="17"/>
      <c r="BP34" s="17"/>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Z34" s="13"/>
      <c r="DA34" s="13"/>
      <c r="DB34" s="13"/>
      <c r="DC34" s="13"/>
      <c r="DD34" s="13"/>
    </row>
    <row r="35" spans="1:142" s="14" customFormat="1" ht="16.5" customHeight="1" thickBot="1" x14ac:dyDescent="0.6">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20"/>
      <c r="AU35" s="20"/>
      <c r="AV35" s="20"/>
      <c r="AW35" s="20"/>
      <c r="AX35" s="20"/>
      <c r="AY35" s="20"/>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row>
    <row r="36" spans="1:142" ht="30" customHeight="1" thickTop="1" thickBot="1" x14ac:dyDescent="0.6">
      <c r="A36" s="1"/>
      <c r="B36" s="21"/>
      <c r="C36" s="21"/>
      <c r="D36" s="21"/>
      <c r="E36" s="21"/>
      <c r="F36" s="21"/>
      <c r="G36" s="21"/>
      <c r="H36" s="21"/>
      <c r="I36" s="21"/>
      <c r="J36" s="21"/>
      <c r="K36" s="21"/>
      <c r="L36" s="21"/>
      <c r="M36" s="21"/>
      <c r="N36" s="21"/>
      <c r="O36" s="21"/>
      <c r="P36" s="21"/>
      <c r="Q36" s="21"/>
      <c r="R36" s="21"/>
      <c r="S36" s="21"/>
      <c r="T36" s="21"/>
      <c r="U36" s="21"/>
      <c r="V36" s="21"/>
      <c r="W36" s="21"/>
      <c r="X36" s="21"/>
      <c r="Y36" s="106" t="s">
        <v>23</v>
      </c>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8"/>
      <c r="BA36" s="22"/>
      <c r="BB36" s="22"/>
      <c r="BC36" s="22"/>
      <c r="BD36" s="1"/>
      <c r="BE36" s="1"/>
      <c r="BF36" s="1"/>
      <c r="BG36" s="1"/>
      <c r="BH36" s="1"/>
      <c r="BI36" s="1"/>
      <c r="BJ36" s="1"/>
      <c r="BK36" s="1"/>
      <c r="BL36" s="1"/>
      <c r="BM36" s="21"/>
      <c r="BN36" s="21"/>
      <c r="BO36" s="21"/>
      <c r="BP36" s="21"/>
      <c r="BQ36" s="21"/>
      <c r="BR36" s="1"/>
      <c r="BS36" s="1"/>
      <c r="BT36" s="1"/>
      <c r="BU36" s="1"/>
      <c r="BV36" s="1"/>
      <c r="BW36" s="1"/>
      <c r="BX36" s="1"/>
      <c r="BY36" s="106" t="s">
        <v>24</v>
      </c>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23"/>
      <c r="CV36" s="22"/>
      <c r="CW36" s="22"/>
      <c r="CX36" s="22"/>
    </row>
    <row r="37" spans="1:142" ht="17.149999999999999" customHeight="1" thickTop="1" thickBot="1" x14ac:dyDescent="0.6">
      <c r="A37" s="1"/>
      <c r="B37" s="21"/>
      <c r="C37" s="21"/>
      <c r="D37" s="21"/>
      <c r="E37" s="21"/>
      <c r="F37" s="21"/>
      <c r="G37" s="21"/>
      <c r="H37" s="21"/>
      <c r="I37" s="21"/>
      <c r="J37" s="21"/>
      <c r="K37" s="21"/>
      <c r="L37" s="21"/>
      <c r="M37" s="21"/>
      <c r="N37" s="21"/>
      <c r="O37" s="21"/>
      <c r="P37" s="10"/>
      <c r="Q37" s="10"/>
      <c r="R37" s="10"/>
      <c r="S37" s="10"/>
      <c r="T37" s="10"/>
      <c r="U37" s="21"/>
      <c r="V37" s="21"/>
      <c r="W37" s="21"/>
      <c r="X37" s="21"/>
      <c r="Y37" s="1"/>
      <c r="Z37" s="10"/>
      <c r="AA37" s="10"/>
      <c r="AB37" s="10"/>
      <c r="AC37" s="10"/>
      <c r="AD37" s="10"/>
      <c r="AE37" s="10"/>
      <c r="AF37" s="10"/>
      <c r="AG37" s="10"/>
      <c r="AH37" s="10"/>
      <c r="AI37" s="10"/>
      <c r="AJ37" s="10"/>
      <c r="AK37" s="10"/>
      <c r="AL37" s="10"/>
      <c r="AM37" s="10"/>
      <c r="AN37" s="10"/>
      <c r="AO37" s="10"/>
      <c r="AP37" s="10"/>
      <c r="AQ37" s="10"/>
      <c r="AR37" s="10"/>
      <c r="AS37" s="10"/>
      <c r="AT37" s="10"/>
      <c r="AU37" s="1"/>
      <c r="AV37" s="1"/>
      <c r="AW37" s="1"/>
      <c r="AX37" s="1"/>
      <c r="AY37" s="1"/>
      <c r="AZ37" s="24"/>
      <c r="BA37" s="1"/>
      <c r="BB37" s="1"/>
      <c r="BC37" s="1"/>
      <c r="BD37" s="25"/>
      <c r="BE37" s="25"/>
      <c r="BF37" s="25"/>
      <c r="BG37" s="25"/>
      <c r="BH37" s="26"/>
      <c r="BI37" s="1"/>
      <c r="BJ37" s="1"/>
      <c r="BK37" s="1"/>
      <c r="BL37" s="1"/>
      <c r="BM37" s="10"/>
      <c r="BN37" s="10"/>
      <c r="BO37" s="10"/>
      <c r="BP37" s="10"/>
      <c r="BQ37" s="10"/>
      <c r="BR37" s="1"/>
      <c r="BS37" s="1"/>
      <c r="BT37" s="1"/>
      <c r="BU37" s="1"/>
      <c r="BV37" s="1"/>
      <c r="BW37" s="1"/>
      <c r="BX37" s="1"/>
      <c r="BY37" s="1"/>
      <c r="BZ37" s="10"/>
      <c r="CA37" s="10"/>
      <c r="CB37" s="10"/>
      <c r="CC37" s="10"/>
      <c r="CD37" s="10"/>
      <c r="CE37" s="10"/>
      <c r="CF37" s="10"/>
      <c r="CG37" s="10"/>
      <c r="CH37" s="10"/>
      <c r="CI37" s="10"/>
      <c r="CJ37" s="10"/>
      <c r="CK37" s="10"/>
      <c r="CL37" s="10"/>
      <c r="CM37" s="10"/>
      <c r="CN37" s="10"/>
      <c r="CO37" s="10"/>
      <c r="CP37" s="1"/>
      <c r="CQ37" s="1"/>
      <c r="CR37" s="1"/>
      <c r="CS37" s="1"/>
      <c r="CT37" s="24"/>
      <c r="CU37" s="1"/>
      <c r="CV37" s="1"/>
      <c r="CW37" s="1"/>
      <c r="CX37" s="1"/>
    </row>
    <row r="38" spans="1:142" ht="25.4" customHeight="1" thickTop="1" thickBot="1" x14ac:dyDescent="0.6">
      <c r="A38" s="1"/>
      <c r="B38" s="21"/>
      <c r="C38" s="21"/>
      <c r="D38" s="21"/>
      <c r="E38" s="21"/>
      <c r="F38" s="21"/>
      <c r="G38" s="21"/>
      <c r="H38" s="21"/>
      <c r="I38" s="21"/>
      <c r="J38" s="21"/>
      <c r="K38" s="21"/>
      <c r="L38" s="21"/>
      <c r="M38" s="21"/>
      <c r="N38" s="21"/>
      <c r="O38" s="21"/>
      <c r="P38" s="21"/>
      <c r="Q38" s="21"/>
      <c r="R38" s="21"/>
      <c r="S38" s="21"/>
      <c r="T38" s="21"/>
      <c r="U38" s="21"/>
      <c r="V38" s="21"/>
      <c r="W38" s="21"/>
      <c r="X38" s="21"/>
      <c r="Y38" s="160" t="s">
        <v>25</v>
      </c>
      <c r="Z38" s="161"/>
      <c r="AA38" s="161"/>
      <c r="AB38" s="161"/>
      <c r="AC38" s="161"/>
      <c r="AD38" s="161"/>
      <c r="AE38" s="161"/>
      <c r="AF38" s="161"/>
      <c r="AG38" s="161"/>
      <c r="AH38" s="161"/>
      <c r="AI38" s="161"/>
      <c r="AJ38" s="161"/>
      <c r="AK38" s="161"/>
      <c r="AL38" s="161"/>
      <c r="AM38" s="161"/>
      <c r="AN38" s="161"/>
      <c r="AO38" s="161"/>
      <c r="AP38" s="161"/>
      <c r="AQ38" s="161"/>
      <c r="AR38" s="161"/>
      <c r="AS38" s="161"/>
      <c r="AT38" s="161"/>
      <c r="AU38" s="161"/>
      <c r="AV38" s="161"/>
      <c r="AW38" s="161"/>
      <c r="AX38" s="161"/>
      <c r="AY38" s="161"/>
      <c r="AZ38" s="162"/>
      <c r="BA38" s="27"/>
      <c r="BB38" s="27"/>
      <c r="BC38" s="27"/>
      <c r="BD38" s="10"/>
      <c r="BE38" s="10"/>
      <c r="BF38" s="10"/>
      <c r="BG38" s="10"/>
      <c r="BH38" s="1"/>
      <c r="BI38" s="1"/>
      <c r="BJ38" s="1"/>
      <c r="BK38" s="1"/>
      <c r="BL38" s="1"/>
      <c r="BM38" s="21"/>
      <c r="BN38" s="21"/>
      <c r="BO38" s="21"/>
      <c r="BP38" s="21"/>
      <c r="BQ38" s="21"/>
      <c r="BR38" s="1"/>
      <c r="BS38" s="1"/>
      <c r="BT38" s="1"/>
      <c r="BU38" s="1"/>
      <c r="BV38" s="1"/>
      <c r="BW38" s="1"/>
      <c r="BX38" s="1"/>
      <c r="BY38" s="160" t="s">
        <v>25</v>
      </c>
      <c r="BZ38" s="161"/>
      <c r="CA38" s="161"/>
      <c r="CB38" s="161"/>
      <c r="CC38" s="161"/>
      <c r="CD38" s="161"/>
      <c r="CE38" s="161"/>
      <c r="CF38" s="161"/>
      <c r="CG38" s="161"/>
      <c r="CH38" s="161"/>
      <c r="CI38" s="161"/>
      <c r="CJ38" s="161"/>
      <c r="CK38" s="161"/>
      <c r="CL38" s="161"/>
      <c r="CM38" s="161"/>
      <c r="CN38" s="161"/>
      <c r="CO38" s="161"/>
      <c r="CP38" s="161"/>
      <c r="CQ38" s="161"/>
      <c r="CR38" s="161"/>
      <c r="CS38" s="161"/>
      <c r="CT38" s="161"/>
      <c r="CU38" s="28"/>
      <c r="CV38" s="27"/>
      <c r="CW38" s="27"/>
      <c r="CX38" s="27"/>
    </row>
    <row r="39" spans="1:142" ht="16.5" customHeight="1" thickTop="1" x14ac:dyDescent="0.55000000000000004">
      <c r="A39" s="1"/>
      <c r="B39" s="21"/>
      <c r="C39" s="21"/>
      <c r="D39" s="21"/>
      <c r="E39" s="21"/>
      <c r="F39" s="21"/>
      <c r="G39" s="21"/>
      <c r="H39" s="21"/>
      <c r="I39" s="21"/>
      <c r="J39" s="21"/>
      <c r="K39" s="21"/>
      <c r="L39" s="21"/>
      <c r="M39" s="21"/>
      <c r="N39" s="21"/>
      <c r="O39" s="21"/>
      <c r="P39" s="21"/>
      <c r="Q39" s="21"/>
      <c r="R39" s="21"/>
      <c r="S39" s="21"/>
      <c r="T39" s="21"/>
      <c r="U39" s="21"/>
      <c r="V39" s="21"/>
      <c r="W39" s="21"/>
      <c r="X39" s="21"/>
      <c r="Y39" s="156">
        <f>+AT32</f>
        <v>379000</v>
      </c>
      <c r="Z39" s="157"/>
      <c r="AA39" s="157"/>
      <c r="AB39" s="157"/>
      <c r="AC39" s="157"/>
      <c r="AD39" s="157"/>
      <c r="AE39" s="157"/>
      <c r="AF39" s="157"/>
      <c r="AG39" s="157"/>
      <c r="AH39" s="157"/>
      <c r="AI39" s="157"/>
      <c r="AJ39" s="157"/>
      <c r="AK39" s="157"/>
      <c r="AL39" s="157"/>
      <c r="AM39" s="157"/>
      <c r="AN39" s="157"/>
      <c r="AO39" s="157"/>
      <c r="AP39" s="157"/>
      <c r="AQ39" s="157"/>
      <c r="AR39" s="157"/>
      <c r="AS39" s="157"/>
      <c r="AT39" s="157"/>
      <c r="AU39" s="157"/>
      <c r="AV39" s="157"/>
      <c r="AW39" s="157"/>
      <c r="AX39" s="157"/>
      <c r="AY39" s="157"/>
      <c r="AZ39" s="163"/>
      <c r="BA39" s="29"/>
      <c r="BB39" s="29"/>
      <c r="BC39" s="29"/>
      <c r="BD39" s="10"/>
      <c r="BE39" s="10"/>
      <c r="BF39" s="10"/>
      <c r="BG39" s="10"/>
      <c r="BH39" s="1"/>
      <c r="BI39" s="1"/>
      <c r="BJ39" s="1"/>
      <c r="BK39" s="1"/>
      <c r="BL39" s="1"/>
      <c r="BM39" s="21"/>
      <c r="BN39" s="21"/>
      <c r="BO39" s="21"/>
      <c r="BP39" s="21"/>
      <c r="BQ39" s="21"/>
      <c r="BR39" s="1"/>
      <c r="BS39" s="1"/>
      <c r="BT39" s="1"/>
      <c r="BU39" s="1"/>
      <c r="BV39" s="1"/>
      <c r="BW39" s="1"/>
      <c r="BX39" s="1"/>
      <c r="BY39" s="156">
        <f>+CO32</f>
        <v>309000</v>
      </c>
      <c r="BZ39" s="157"/>
      <c r="CA39" s="157"/>
      <c r="CB39" s="157"/>
      <c r="CC39" s="157"/>
      <c r="CD39" s="157"/>
      <c r="CE39" s="157"/>
      <c r="CF39" s="157"/>
      <c r="CG39" s="157"/>
      <c r="CH39" s="157"/>
      <c r="CI39" s="157"/>
      <c r="CJ39" s="157"/>
      <c r="CK39" s="157"/>
      <c r="CL39" s="157"/>
      <c r="CM39" s="157"/>
      <c r="CN39" s="157"/>
      <c r="CO39" s="157"/>
      <c r="CP39" s="157"/>
      <c r="CQ39" s="157"/>
      <c r="CR39" s="157"/>
      <c r="CS39" s="157"/>
      <c r="CT39" s="157"/>
      <c r="CU39" s="30"/>
      <c r="CV39" s="29"/>
      <c r="CW39" s="29"/>
      <c r="CX39" s="29"/>
    </row>
    <row r="40" spans="1:142" ht="16.5" customHeight="1" thickBot="1" x14ac:dyDescent="0.6">
      <c r="A40" s="1"/>
      <c r="B40" s="21"/>
      <c r="C40" s="21"/>
      <c r="D40" s="21"/>
      <c r="E40" s="21"/>
      <c r="F40" s="21"/>
      <c r="G40" s="21"/>
      <c r="H40" s="21"/>
      <c r="I40" s="21"/>
      <c r="J40" s="21"/>
      <c r="K40" s="21"/>
      <c r="L40" s="21"/>
      <c r="M40" s="21"/>
      <c r="N40" s="21"/>
      <c r="O40" s="21"/>
      <c r="P40" s="21"/>
      <c r="Q40" s="21"/>
      <c r="R40" s="21"/>
      <c r="S40" s="21"/>
      <c r="T40" s="21"/>
      <c r="U40" s="21"/>
      <c r="V40" s="21"/>
      <c r="W40" s="21"/>
      <c r="X40" s="21"/>
      <c r="Y40" s="158"/>
      <c r="Z40" s="159"/>
      <c r="AA40" s="159"/>
      <c r="AB40" s="159"/>
      <c r="AC40" s="159"/>
      <c r="AD40" s="159"/>
      <c r="AE40" s="159"/>
      <c r="AF40" s="159"/>
      <c r="AG40" s="159"/>
      <c r="AH40" s="159"/>
      <c r="AI40" s="159"/>
      <c r="AJ40" s="159"/>
      <c r="AK40" s="159"/>
      <c r="AL40" s="159"/>
      <c r="AM40" s="159"/>
      <c r="AN40" s="159"/>
      <c r="AO40" s="159"/>
      <c r="AP40" s="159"/>
      <c r="AQ40" s="159"/>
      <c r="AR40" s="159"/>
      <c r="AS40" s="159"/>
      <c r="AT40" s="159"/>
      <c r="AU40" s="159"/>
      <c r="AV40" s="159"/>
      <c r="AW40" s="159"/>
      <c r="AX40" s="159"/>
      <c r="AY40" s="159"/>
      <c r="AZ40" s="159"/>
      <c r="BA40" s="30"/>
      <c r="BB40" s="29"/>
      <c r="BC40" s="29"/>
      <c r="BD40" s="1"/>
      <c r="BE40" s="10"/>
      <c r="BF40" s="10"/>
      <c r="BG40" s="10"/>
      <c r="BH40" s="1"/>
      <c r="BI40" s="1"/>
      <c r="BJ40" s="1"/>
      <c r="BK40" s="1"/>
      <c r="BL40" s="1"/>
      <c r="BM40" s="21"/>
      <c r="BN40" s="21"/>
      <c r="BO40" s="21"/>
      <c r="BP40" s="21"/>
      <c r="BQ40" s="21"/>
      <c r="BR40" s="1"/>
      <c r="BS40" s="1"/>
      <c r="BT40" s="1"/>
      <c r="BU40" s="1"/>
      <c r="BV40" s="1"/>
      <c r="BW40" s="1"/>
      <c r="BX40" s="1"/>
      <c r="BY40" s="158"/>
      <c r="BZ40" s="159"/>
      <c r="CA40" s="159"/>
      <c r="CB40" s="159"/>
      <c r="CC40" s="159"/>
      <c r="CD40" s="159"/>
      <c r="CE40" s="159"/>
      <c r="CF40" s="159"/>
      <c r="CG40" s="159"/>
      <c r="CH40" s="159"/>
      <c r="CI40" s="159"/>
      <c r="CJ40" s="159"/>
      <c r="CK40" s="159"/>
      <c r="CL40" s="159"/>
      <c r="CM40" s="159"/>
      <c r="CN40" s="159"/>
      <c r="CO40" s="159"/>
      <c r="CP40" s="159"/>
      <c r="CQ40" s="159"/>
      <c r="CR40" s="159"/>
      <c r="CS40" s="159"/>
      <c r="CT40" s="159"/>
      <c r="CU40" s="30"/>
      <c r="CV40" s="29"/>
      <c r="CW40" s="29"/>
      <c r="CX40" s="29"/>
    </row>
    <row r="41" spans="1:142" ht="25.4" customHeight="1" thickTop="1" thickBot="1" x14ac:dyDescent="0.6">
      <c r="A41" s="1"/>
      <c r="B41" s="21"/>
      <c r="C41" s="21"/>
      <c r="D41" s="21"/>
      <c r="E41" s="21"/>
      <c r="F41" s="21"/>
      <c r="G41" s="21"/>
      <c r="H41" s="21"/>
      <c r="I41" s="21"/>
      <c r="J41" s="21"/>
      <c r="K41" s="21"/>
      <c r="L41" s="21"/>
      <c r="M41" s="21"/>
      <c r="N41" s="21"/>
      <c r="O41" s="21"/>
      <c r="P41" s="21"/>
      <c r="Q41" s="21"/>
      <c r="R41" s="21"/>
      <c r="S41" s="21"/>
      <c r="T41" s="21"/>
      <c r="U41" s="21"/>
      <c r="V41" s="21"/>
      <c r="W41" s="21"/>
      <c r="X41" s="21"/>
      <c r="Y41" s="160" t="s">
        <v>26</v>
      </c>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1"/>
      <c r="AX41" s="161"/>
      <c r="AY41" s="161"/>
      <c r="AZ41" s="161"/>
      <c r="BA41" s="28"/>
      <c r="BB41" s="27"/>
      <c r="BC41" s="27"/>
      <c r="BD41" s="1"/>
      <c r="BE41" s="1"/>
      <c r="BF41" s="1"/>
      <c r="BG41" s="1"/>
      <c r="BH41" s="1"/>
      <c r="BI41" s="1"/>
      <c r="BJ41" s="1"/>
      <c r="BK41" s="1"/>
      <c r="BL41" s="1"/>
      <c r="BM41" s="21"/>
      <c r="BN41" s="21"/>
      <c r="BO41" s="21"/>
      <c r="BP41" s="21"/>
      <c r="BQ41" s="21"/>
      <c r="BR41" s="1"/>
      <c r="BS41" s="1"/>
      <c r="BT41" s="1"/>
      <c r="BU41" s="1"/>
      <c r="BV41" s="1"/>
      <c r="BW41" s="1"/>
      <c r="BX41" s="1"/>
      <c r="BY41" s="160" t="s">
        <v>26</v>
      </c>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28"/>
      <c r="CV41" s="27"/>
      <c r="CW41" s="27"/>
      <c r="CX41" s="27"/>
    </row>
    <row r="42" spans="1:142" ht="16.5" customHeight="1" thickTop="1" x14ac:dyDescent="0.55000000000000004">
      <c r="A42" s="1"/>
      <c r="B42" s="21"/>
      <c r="C42" s="21"/>
      <c r="D42" s="21"/>
      <c r="E42" s="21"/>
      <c r="F42" s="21"/>
      <c r="G42" s="21"/>
      <c r="H42" s="21"/>
      <c r="I42" s="21"/>
      <c r="J42" s="21"/>
      <c r="K42" s="21"/>
      <c r="L42" s="21"/>
      <c r="M42" s="21"/>
      <c r="N42" s="21"/>
      <c r="O42" s="21"/>
      <c r="P42" s="21"/>
      <c r="Q42" s="21"/>
      <c r="R42" s="21"/>
      <c r="S42" s="21"/>
      <c r="T42" s="21"/>
      <c r="U42" s="21"/>
      <c r="V42" s="21"/>
      <c r="W42" s="21"/>
      <c r="X42" s="21"/>
      <c r="Y42" s="156">
        <f>Y39*12</f>
        <v>4548000</v>
      </c>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30"/>
      <c r="BB42" s="29"/>
      <c r="BC42" s="29"/>
      <c r="BD42" s="1"/>
      <c r="BE42" s="1"/>
      <c r="BF42" s="1"/>
      <c r="BG42" s="1"/>
      <c r="BH42" s="1"/>
      <c r="BI42" s="1"/>
      <c r="BJ42" s="1"/>
      <c r="BK42" s="1"/>
      <c r="BL42" s="1"/>
      <c r="BM42" s="21"/>
      <c r="BN42" s="21"/>
      <c r="BO42" s="21"/>
      <c r="BP42" s="21"/>
      <c r="BQ42" s="21"/>
      <c r="BR42" s="1"/>
      <c r="BS42" s="1"/>
      <c r="BT42" s="1"/>
      <c r="BU42" s="1"/>
      <c r="BV42" s="1"/>
      <c r="BW42" s="1"/>
      <c r="BX42" s="1"/>
      <c r="BY42" s="156">
        <f>BY39*12</f>
        <v>3708000</v>
      </c>
      <c r="BZ42" s="157"/>
      <c r="CA42" s="157"/>
      <c r="CB42" s="157"/>
      <c r="CC42" s="157"/>
      <c r="CD42" s="157"/>
      <c r="CE42" s="157"/>
      <c r="CF42" s="157"/>
      <c r="CG42" s="157"/>
      <c r="CH42" s="157"/>
      <c r="CI42" s="157"/>
      <c r="CJ42" s="157"/>
      <c r="CK42" s="157"/>
      <c r="CL42" s="157"/>
      <c r="CM42" s="157"/>
      <c r="CN42" s="157"/>
      <c r="CO42" s="157"/>
      <c r="CP42" s="157"/>
      <c r="CQ42" s="157"/>
      <c r="CR42" s="157"/>
      <c r="CS42" s="157"/>
      <c r="CT42" s="157"/>
      <c r="CU42" s="30"/>
      <c r="CV42" s="29"/>
      <c r="CW42" s="29"/>
      <c r="CX42" s="29"/>
    </row>
    <row r="43" spans="1:142" ht="16.5" customHeight="1" thickBot="1" x14ac:dyDescent="0.6">
      <c r="A43" s="1"/>
      <c r="B43" s="21"/>
      <c r="C43" s="21"/>
      <c r="D43" s="21"/>
      <c r="E43" s="21"/>
      <c r="F43" s="21"/>
      <c r="G43" s="21"/>
      <c r="H43" s="21"/>
      <c r="I43" s="21"/>
      <c r="J43" s="21"/>
      <c r="K43" s="21"/>
      <c r="L43" s="21"/>
      <c r="M43" s="21"/>
      <c r="N43" s="21"/>
      <c r="O43" s="21"/>
      <c r="P43" s="21"/>
      <c r="Q43" s="21"/>
      <c r="R43" s="21"/>
      <c r="S43" s="21"/>
      <c r="T43" s="21"/>
      <c r="U43" s="21"/>
      <c r="V43" s="21"/>
      <c r="W43" s="21"/>
      <c r="X43" s="21"/>
      <c r="Y43" s="158"/>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30"/>
      <c r="BB43" s="29"/>
      <c r="BC43" s="29"/>
      <c r="BD43" s="1"/>
      <c r="BE43" s="1"/>
      <c r="BF43" s="1"/>
      <c r="BG43" s="1"/>
      <c r="BH43" s="1"/>
      <c r="BI43" s="1"/>
      <c r="BJ43" s="1"/>
      <c r="BK43" s="1"/>
      <c r="BL43" s="1"/>
      <c r="BM43" s="21"/>
      <c r="BN43" s="21"/>
      <c r="BO43" s="21"/>
      <c r="BP43" s="21"/>
      <c r="BQ43" s="21"/>
      <c r="BR43" s="1"/>
      <c r="BS43" s="1"/>
      <c r="BT43" s="1"/>
      <c r="BU43" s="1"/>
      <c r="BV43" s="1"/>
      <c r="BW43" s="1"/>
      <c r="BX43" s="1"/>
      <c r="BY43" s="158"/>
      <c r="BZ43" s="159"/>
      <c r="CA43" s="159"/>
      <c r="CB43" s="159"/>
      <c r="CC43" s="159"/>
      <c r="CD43" s="159"/>
      <c r="CE43" s="159"/>
      <c r="CF43" s="159"/>
      <c r="CG43" s="159"/>
      <c r="CH43" s="159"/>
      <c r="CI43" s="159"/>
      <c r="CJ43" s="159"/>
      <c r="CK43" s="159"/>
      <c r="CL43" s="159"/>
      <c r="CM43" s="159"/>
      <c r="CN43" s="159"/>
      <c r="CO43" s="159"/>
      <c r="CP43" s="159"/>
      <c r="CQ43" s="159"/>
      <c r="CR43" s="159"/>
      <c r="CS43" s="159"/>
      <c r="CT43" s="159"/>
      <c r="CU43" s="30"/>
      <c r="CV43" s="29"/>
      <c r="CW43" s="29"/>
      <c r="CX43" s="29"/>
    </row>
    <row r="44" spans="1:142" ht="25.4" customHeight="1" thickTop="1" thickBot="1" x14ac:dyDescent="0.6">
      <c r="A44" s="1"/>
      <c r="B44" s="31"/>
      <c r="C44" s="31"/>
      <c r="D44" s="31"/>
      <c r="E44" s="31"/>
      <c r="F44" s="31"/>
      <c r="G44" s="31"/>
      <c r="H44" s="31"/>
      <c r="I44" s="31"/>
      <c r="J44" s="31"/>
      <c r="K44" s="31"/>
      <c r="L44" s="31"/>
      <c r="M44" s="31"/>
      <c r="N44" s="31"/>
      <c r="O44" s="31"/>
      <c r="P44" s="31"/>
      <c r="Q44" s="31"/>
      <c r="R44" s="31"/>
      <c r="S44" s="31"/>
      <c r="T44" s="31"/>
      <c r="U44" s="31"/>
      <c r="V44" s="31"/>
      <c r="W44" s="31"/>
      <c r="X44" s="31"/>
      <c r="Y44" s="160" t="s">
        <v>27</v>
      </c>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28"/>
      <c r="BB44" s="27"/>
      <c r="BC44" s="27"/>
      <c r="BD44" s="1"/>
      <c r="BE44" s="1"/>
      <c r="BF44" s="1"/>
      <c r="BG44" s="1"/>
      <c r="BH44" s="1"/>
      <c r="BI44" s="1"/>
      <c r="BJ44" s="1"/>
      <c r="BK44" s="1"/>
      <c r="BL44" s="1"/>
      <c r="BM44" s="31"/>
      <c r="BN44" s="31"/>
      <c r="BO44" s="31"/>
      <c r="BP44" s="31"/>
      <c r="BQ44" s="31"/>
      <c r="BR44" s="1"/>
      <c r="BS44" s="1"/>
      <c r="BT44" s="1"/>
      <c r="BU44" s="1"/>
      <c r="BV44" s="1"/>
      <c r="BW44" s="1"/>
      <c r="BX44" s="1"/>
      <c r="BY44" s="160" t="s">
        <v>27</v>
      </c>
      <c r="BZ44" s="161"/>
      <c r="CA44" s="161"/>
      <c r="CB44" s="161"/>
      <c r="CC44" s="161"/>
      <c r="CD44" s="161"/>
      <c r="CE44" s="161"/>
      <c r="CF44" s="161"/>
      <c r="CG44" s="161"/>
      <c r="CH44" s="161"/>
      <c r="CI44" s="161"/>
      <c r="CJ44" s="161"/>
      <c r="CK44" s="161"/>
      <c r="CL44" s="161"/>
      <c r="CM44" s="161"/>
      <c r="CN44" s="161"/>
      <c r="CO44" s="161"/>
      <c r="CP44" s="161"/>
      <c r="CQ44" s="161"/>
      <c r="CR44" s="161"/>
      <c r="CS44" s="161"/>
      <c r="CT44" s="161"/>
      <c r="CU44" s="28"/>
      <c r="CV44" s="27"/>
      <c r="CW44" s="27"/>
      <c r="CX44" s="27"/>
    </row>
    <row r="45" spans="1:142" ht="16.5" customHeight="1" thickTop="1" x14ac:dyDescent="0.55000000000000004">
      <c r="A45" s="1"/>
      <c r="B45" s="31"/>
      <c r="C45" s="31"/>
      <c r="D45" s="31"/>
      <c r="E45" s="31"/>
      <c r="F45" s="31"/>
      <c r="G45" s="31"/>
      <c r="H45" s="31"/>
      <c r="I45" s="31"/>
      <c r="J45" s="31"/>
      <c r="K45" s="31"/>
      <c r="L45" s="31"/>
      <c r="M45" s="31"/>
      <c r="N45" s="31"/>
      <c r="O45" s="31"/>
      <c r="P45" s="31"/>
      <c r="Q45" s="31"/>
      <c r="R45" s="31"/>
      <c r="S45" s="31"/>
      <c r="T45" s="31"/>
      <c r="U45" s="31"/>
      <c r="V45" s="31"/>
      <c r="W45" s="31"/>
      <c r="X45" s="31"/>
      <c r="Y45" s="156">
        <f>Y42*10</f>
        <v>45480000</v>
      </c>
      <c r="Z45" s="157"/>
      <c r="AA45" s="157"/>
      <c r="AB45" s="157"/>
      <c r="AC45" s="157"/>
      <c r="AD45" s="157"/>
      <c r="AE45" s="157"/>
      <c r="AF45" s="157"/>
      <c r="AG45" s="157"/>
      <c r="AH45" s="157"/>
      <c r="AI45" s="157"/>
      <c r="AJ45" s="157"/>
      <c r="AK45" s="157"/>
      <c r="AL45" s="157"/>
      <c r="AM45" s="157"/>
      <c r="AN45" s="157"/>
      <c r="AO45" s="157"/>
      <c r="AP45" s="157"/>
      <c r="AQ45" s="157"/>
      <c r="AR45" s="157"/>
      <c r="AS45" s="157"/>
      <c r="AT45" s="157"/>
      <c r="AU45" s="157"/>
      <c r="AV45" s="157"/>
      <c r="AW45" s="157"/>
      <c r="AX45" s="157"/>
      <c r="AY45" s="157"/>
      <c r="AZ45" s="157"/>
      <c r="BA45" s="30"/>
      <c r="BB45" s="29"/>
      <c r="BC45" s="29"/>
      <c r="BD45" s="1"/>
      <c r="BE45" s="1"/>
      <c r="BF45" s="1"/>
      <c r="BG45" s="1"/>
      <c r="BH45" s="1"/>
      <c r="BI45" s="1"/>
      <c r="BJ45" s="1"/>
      <c r="BK45" s="1"/>
      <c r="BL45" s="1"/>
      <c r="BM45" s="31"/>
      <c r="BN45" s="31"/>
      <c r="BO45" s="31"/>
      <c r="BP45" s="31"/>
      <c r="BQ45" s="31"/>
      <c r="BR45" s="1"/>
      <c r="BS45" s="1"/>
      <c r="BT45" s="1"/>
      <c r="BU45" s="1"/>
      <c r="BV45" s="1"/>
      <c r="BW45" s="1"/>
      <c r="BX45" s="1"/>
      <c r="BY45" s="156">
        <f>BY42*10</f>
        <v>37080000</v>
      </c>
      <c r="BZ45" s="157"/>
      <c r="CA45" s="157"/>
      <c r="CB45" s="157"/>
      <c r="CC45" s="157"/>
      <c r="CD45" s="157"/>
      <c r="CE45" s="157"/>
      <c r="CF45" s="157"/>
      <c r="CG45" s="157"/>
      <c r="CH45" s="157"/>
      <c r="CI45" s="157"/>
      <c r="CJ45" s="157"/>
      <c r="CK45" s="157"/>
      <c r="CL45" s="157"/>
      <c r="CM45" s="157"/>
      <c r="CN45" s="157"/>
      <c r="CO45" s="157"/>
      <c r="CP45" s="157"/>
      <c r="CQ45" s="157"/>
      <c r="CR45" s="157"/>
      <c r="CS45" s="157"/>
      <c r="CT45" s="157"/>
      <c r="CU45" s="30"/>
      <c r="CV45" s="29"/>
      <c r="CW45" s="29"/>
      <c r="CX45" s="29"/>
    </row>
    <row r="46" spans="1:142" ht="16.5" customHeight="1" thickBot="1" x14ac:dyDescent="0.6">
      <c r="A46" s="1"/>
      <c r="B46" s="31"/>
      <c r="C46" s="31"/>
      <c r="D46" s="31"/>
      <c r="E46" s="31"/>
      <c r="F46" s="31"/>
      <c r="G46" s="31"/>
      <c r="H46" s="31"/>
      <c r="I46" s="31"/>
      <c r="J46" s="31"/>
      <c r="K46" s="31"/>
      <c r="L46" s="31"/>
      <c r="M46" s="31"/>
      <c r="N46" s="31"/>
      <c r="O46" s="31"/>
      <c r="P46" s="31"/>
      <c r="Q46" s="31"/>
      <c r="R46" s="31"/>
      <c r="S46" s="31"/>
      <c r="T46" s="31"/>
      <c r="U46" s="31"/>
      <c r="V46" s="31"/>
      <c r="W46" s="31"/>
      <c r="X46" s="31"/>
      <c r="Y46" s="158"/>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c r="AX46" s="159"/>
      <c r="AY46" s="159"/>
      <c r="AZ46" s="159"/>
      <c r="BA46" s="30"/>
      <c r="BB46" s="29"/>
      <c r="BC46" s="29"/>
      <c r="BD46" s="1"/>
      <c r="BE46" s="1"/>
      <c r="BF46" s="1"/>
      <c r="BG46" s="1"/>
      <c r="BH46" s="1"/>
      <c r="BI46" s="1"/>
      <c r="BJ46" s="1"/>
      <c r="BK46" s="1"/>
      <c r="BL46" s="1"/>
      <c r="BM46" s="31"/>
      <c r="BN46" s="31"/>
      <c r="BO46" s="31"/>
      <c r="BP46" s="31"/>
      <c r="BQ46" s="31"/>
      <c r="BR46" s="1"/>
      <c r="BS46" s="1"/>
      <c r="BT46" s="1"/>
      <c r="BU46" s="1"/>
      <c r="BV46" s="1"/>
      <c r="BW46" s="1"/>
      <c r="BX46" s="1"/>
      <c r="BY46" s="158"/>
      <c r="BZ46" s="159"/>
      <c r="CA46" s="159"/>
      <c r="CB46" s="159"/>
      <c r="CC46" s="159"/>
      <c r="CD46" s="159"/>
      <c r="CE46" s="159"/>
      <c r="CF46" s="159"/>
      <c r="CG46" s="159"/>
      <c r="CH46" s="159"/>
      <c r="CI46" s="159"/>
      <c r="CJ46" s="159"/>
      <c r="CK46" s="159"/>
      <c r="CL46" s="159"/>
      <c r="CM46" s="159"/>
      <c r="CN46" s="159"/>
      <c r="CO46" s="159"/>
      <c r="CP46" s="159"/>
      <c r="CQ46" s="159"/>
      <c r="CR46" s="159"/>
      <c r="CS46" s="159"/>
      <c r="CT46" s="159"/>
      <c r="CU46" s="30"/>
      <c r="CV46" s="29"/>
      <c r="CW46" s="29"/>
      <c r="CX46" s="29"/>
    </row>
    <row r="47" spans="1:142" s="14" customFormat="1" ht="16.5" customHeight="1" thickTop="1" x14ac:dyDescent="0.55000000000000004">
      <c r="A47" s="4"/>
      <c r="B47" s="4"/>
      <c r="C47" s="4"/>
      <c r="D47" s="4"/>
      <c r="E47" s="4"/>
      <c r="F47" s="4"/>
      <c r="G47" s="4"/>
      <c r="H47" s="4"/>
      <c r="I47" s="4"/>
      <c r="J47" s="4"/>
      <c r="K47" s="4"/>
      <c r="L47" s="4"/>
      <c r="M47" s="4"/>
      <c r="N47" s="4"/>
      <c r="O47" s="4"/>
      <c r="P47" s="4"/>
      <c r="Q47" s="4"/>
      <c r="R47" s="4"/>
      <c r="S47" s="4"/>
      <c r="T47" s="4"/>
      <c r="U47" s="4"/>
      <c r="V47" s="32"/>
      <c r="W47" s="32"/>
      <c r="X47" s="32"/>
      <c r="Y47" s="32"/>
      <c r="Z47" s="32"/>
      <c r="AA47" s="32"/>
      <c r="AB47" s="32"/>
      <c r="AC47" s="4"/>
      <c r="AD47" s="4"/>
      <c r="AE47" s="32"/>
      <c r="AF47" s="32"/>
      <c r="AG47" s="32"/>
      <c r="AH47" s="4"/>
      <c r="AI47" s="4"/>
      <c r="AJ47" s="32"/>
      <c r="AK47" s="32"/>
      <c r="AL47" s="32"/>
      <c r="AM47" s="4"/>
      <c r="AN47" s="4"/>
      <c r="AO47" s="4"/>
      <c r="AP47" s="4"/>
      <c r="AQ47" s="4"/>
      <c r="AR47" s="4"/>
      <c r="AS47" s="4"/>
      <c r="AT47" s="4"/>
      <c r="AU47" s="4"/>
      <c r="AV47" s="4"/>
      <c r="AW47" s="4"/>
      <c r="AX47" s="4"/>
      <c r="AY47" s="4"/>
      <c r="AZ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row>
    <row r="48" spans="1:142" s="14" customFormat="1" ht="16.5" customHeight="1" thickBot="1" x14ac:dyDescent="0.6">
      <c r="A48" s="4"/>
      <c r="B48" s="4"/>
      <c r="C48" s="4"/>
      <c r="D48" s="4"/>
      <c r="E48" s="4"/>
      <c r="F48" s="4"/>
      <c r="G48" s="4"/>
      <c r="H48" s="4"/>
      <c r="I48" s="4"/>
      <c r="J48" s="4"/>
      <c r="K48" s="4"/>
      <c r="L48" s="4"/>
      <c r="M48" s="4"/>
      <c r="N48" s="4"/>
      <c r="O48" s="4"/>
      <c r="P48" s="4"/>
      <c r="Q48" s="4"/>
      <c r="R48" s="4"/>
      <c r="S48" s="4"/>
      <c r="T48" s="4"/>
      <c r="U48" s="4"/>
      <c r="V48" s="32"/>
      <c r="W48" s="32"/>
      <c r="X48" s="32"/>
      <c r="Y48" s="32"/>
      <c r="Z48" s="32"/>
      <c r="AA48" s="32"/>
      <c r="AB48" s="32"/>
      <c r="AC48" s="4"/>
      <c r="AD48" s="4"/>
      <c r="AE48" s="32"/>
      <c r="AF48" s="32"/>
      <c r="AG48" s="32"/>
      <c r="AH48" s="4"/>
      <c r="AI48" s="4"/>
      <c r="AJ48" s="32"/>
      <c r="AK48" s="32"/>
      <c r="AL48" s="32"/>
      <c r="AM48" s="4"/>
      <c r="AN48" s="4"/>
      <c r="AO48" s="4"/>
      <c r="AP48" s="4"/>
      <c r="AQ48" s="4"/>
      <c r="AR48" s="4"/>
      <c r="AS48" s="4"/>
      <c r="AT48" s="4"/>
      <c r="AU48" s="4"/>
      <c r="AV48" s="4"/>
      <c r="AW48" s="4"/>
      <c r="AX48" s="4"/>
      <c r="AY48" s="4"/>
      <c r="AZ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row>
    <row r="49" spans="1:142" s="14" customFormat="1" ht="31" thickTop="1" thickBot="1" x14ac:dyDescent="0.6">
      <c r="A49" s="4"/>
      <c r="B49" s="4"/>
      <c r="C49" s="4"/>
      <c r="D49" s="4"/>
      <c r="E49" s="4"/>
      <c r="F49" s="4"/>
      <c r="G49" s="4"/>
      <c r="H49" s="4"/>
      <c r="I49" s="4"/>
      <c r="J49" s="4"/>
      <c r="K49" s="4"/>
      <c r="L49" s="4"/>
      <c r="M49" s="4"/>
      <c r="N49" s="4"/>
      <c r="O49" s="4"/>
      <c r="P49" s="4"/>
      <c r="Q49" s="4"/>
      <c r="R49" s="4"/>
      <c r="S49" s="4"/>
      <c r="T49" s="4"/>
      <c r="U49" s="4"/>
      <c r="V49" s="32"/>
      <c r="W49" s="32"/>
      <c r="X49" s="32"/>
      <c r="Y49" s="32"/>
      <c r="Z49" s="32"/>
      <c r="AA49" s="32"/>
      <c r="AB49" s="32"/>
      <c r="AC49" s="4"/>
      <c r="AD49" s="4"/>
      <c r="AE49" s="32"/>
      <c r="AF49" s="32"/>
      <c r="AG49" s="32"/>
      <c r="AH49" s="4"/>
      <c r="AI49" s="4"/>
      <c r="AJ49" s="32"/>
      <c r="AK49" s="32"/>
      <c r="AL49" s="32"/>
      <c r="AM49" s="4"/>
      <c r="AN49" s="4"/>
      <c r="AO49" s="4"/>
      <c r="AP49" s="4"/>
      <c r="AQ49" s="4"/>
      <c r="AR49" s="4"/>
      <c r="AS49" s="4"/>
      <c r="AT49" s="4"/>
      <c r="AU49" s="4"/>
      <c r="AV49" s="4"/>
      <c r="AW49" s="4"/>
      <c r="AX49" s="4"/>
      <c r="AY49" s="4"/>
      <c r="AZ49" s="4"/>
      <c r="BS49" s="4"/>
      <c r="BT49" s="4"/>
      <c r="BU49" s="4"/>
      <c r="BV49" s="4"/>
      <c r="BW49" s="4"/>
      <c r="BX49" s="4"/>
      <c r="BY49" s="178" t="s">
        <v>28</v>
      </c>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33"/>
      <c r="CV49" s="34"/>
      <c r="CW49" s="34"/>
      <c r="CX49" s="34"/>
      <c r="CY49" s="4"/>
      <c r="CZ49" s="4"/>
      <c r="DA49" s="4"/>
      <c r="DB49" s="4"/>
      <c r="DC49" s="4"/>
      <c r="DD49" s="106"/>
      <c r="DE49" s="107"/>
      <c r="DF49" s="107"/>
      <c r="DG49" s="107"/>
      <c r="DH49" s="107"/>
      <c r="DI49" s="107"/>
      <c r="DJ49" s="107"/>
      <c r="DK49" s="107"/>
      <c r="DL49" s="107"/>
      <c r="DM49" s="107"/>
      <c r="DN49" s="107"/>
      <c r="DO49" s="107"/>
      <c r="DP49" s="107"/>
      <c r="DQ49" s="107"/>
      <c r="DR49" s="107"/>
      <c r="DS49" s="107"/>
      <c r="DT49" s="107"/>
      <c r="DU49" s="107"/>
      <c r="DV49" s="107"/>
      <c r="DW49" s="107"/>
      <c r="DX49" s="108"/>
      <c r="DY49" s="4"/>
      <c r="DZ49" s="4"/>
      <c r="EA49" s="4"/>
      <c r="EB49" s="4"/>
      <c r="EC49" s="4"/>
      <c r="ED49" s="4"/>
      <c r="EE49" s="4"/>
      <c r="EF49" s="4"/>
      <c r="EG49" s="4"/>
      <c r="EH49" s="4"/>
      <c r="EI49" s="4"/>
      <c r="EJ49" s="4"/>
      <c r="EK49" s="4"/>
      <c r="EL49" s="4"/>
    </row>
    <row r="50" spans="1:142" s="14" customFormat="1" ht="16" thickTop="1" thickBot="1" x14ac:dyDescent="0.6">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S50" s="4"/>
      <c r="BT50" s="4"/>
      <c r="BU50" s="4"/>
      <c r="BV50" s="4"/>
      <c r="BW50" s="4"/>
      <c r="BX50" s="4"/>
      <c r="BY50" s="1"/>
      <c r="BZ50" s="10"/>
      <c r="CA50" s="10"/>
      <c r="CB50" s="10"/>
      <c r="CC50" s="10"/>
      <c r="CD50" s="10"/>
      <c r="CE50" s="10"/>
      <c r="CF50" s="10"/>
      <c r="CG50" s="10"/>
      <c r="CH50" s="10"/>
      <c r="CI50" s="10"/>
      <c r="CJ50" s="10"/>
      <c r="CK50" s="10"/>
      <c r="CL50" s="10"/>
      <c r="CM50" s="10"/>
      <c r="CN50" s="10"/>
      <c r="CO50" s="10"/>
      <c r="CP50" s="1"/>
      <c r="CQ50" s="1"/>
      <c r="CR50" s="1"/>
      <c r="CS50" s="1"/>
      <c r="CT50" s="24"/>
      <c r="CU50" s="4"/>
      <c r="CV50" s="4"/>
      <c r="CW50" s="4"/>
      <c r="CX50" s="4"/>
      <c r="CY50" s="4"/>
      <c r="CZ50" s="4"/>
      <c r="DA50" s="4"/>
      <c r="DB50" s="4"/>
      <c r="DC50" s="4"/>
      <c r="DD50" s="1"/>
      <c r="DE50" s="10"/>
      <c r="DF50" s="10"/>
      <c r="DG50" s="10"/>
      <c r="DH50" s="10"/>
      <c r="DI50" s="10"/>
      <c r="DJ50" s="10"/>
      <c r="DK50" s="10"/>
      <c r="DL50" s="10"/>
      <c r="DM50" s="10"/>
      <c r="DN50" s="10"/>
      <c r="DO50" s="10"/>
      <c r="DP50" s="1"/>
      <c r="DQ50" s="1"/>
      <c r="DR50" s="1"/>
      <c r="DS50" s="1"/>
      <c r="DT50" s="1"/>
      <c r="DU50" s="1"/>
      <c r="DV50" s="1"/>
      <c r="DW50" s="1"/>
      <c r="DX50" s="1"/>
      <c r="DY50" s="4"/>
      <c r="DZ50" s="4"/>
      <c r="EA50" s="4"/>
      <c r="EB50" s="4"/>
      <c r="EC50" s="4"/>
      <c r="ED50" s="4"/>
      <c r="EE50" s="4"/>
      <c r="EF50" s="4"/>
      <c r="EG50" s="4"/>
      <c r="EH50" s="4"/>
      <c r="EI50" s="4"/>
      <c r="EJ50" s="4"/>
      <c r="EK50" s="4"/>
      <c r="EL50" s="4"/>
    </row>
    <row r="51" spans="1:142" s="14" customFormat="1" ht="27.5" thickTop="1" thickBot="1" x14ac:dyDescent="0.6">
      <c r="A51" s="4"/>
      <c r="B51" s="4"/>
      <c r="C51" s="4"/>
      <c r="BG51" s="4"/>
      <c r="BH51" s="180" t="s">
        <v>29</v>
      </c>
      <c r="BI51" s="181"/>
      <c r="BJ51" s="181"/>
      <c r="BK51" s="181"/>
      <c r="BL51" s="181"/>
      <c r="BM51" s="181"/>
      <c r="BN51" s="181"/>
      <c r="BO51" s="181"/>
      <c r="BP51" s="181"/>
      <c r="BQ51" s="181"/>
      <c r="BR51" s="181"/>
      <c r="BS51" s="181"/>
      <c r="BT51" s="181"/>
      <c r="BU51" s="181"/>
      <c r="BV51" s="182"/>
      <c r="BW51" s="4"/>
      <c r="BX51" s="4"/>
      <c r="BY51" s="176" t="s">
        <v>30</v>
      </c>
      <c r="BZ51" s="177"/>
      <c r="CA51" s="177"/>
      <c r="CB51" s="177"/>
      <c r="CC51" s="177"/>
      <c r="CD51" s="177"/>
      <c r="CE51" s="177"/>
      <c r="CF51" s="177"/>
      <c r="CG51" s="177"/>
      <c r="CH51" s="177"/>
      <c r="CI51" s="177"/>
      <c r="CJ51" s="177"/>
      <c r="CK51" s="177"/>
      <c r="CL51" s="177"/>
      <c r="CM51" s="177"/>
      <c r="CN51" s="177"/>
      <c r="CO51" s="177"/>
      <c r="CP51" s="177"/>
      <c r="CQ51" s="177"/>
      <c r="CR51" s="177"/>
      <c r="CS51" s="177"/>
      <c r="CT51" s="177"/>
      <c r="CU51" s="35"/>
      <c r="CV51" s="36"/>
      <c r="CW51" s="36"/>
      <c r="CX51" s="36"/>
      <c r="CY51" s="4"/>
      <c r="CZ51" s="4"/>
      <c r="DA51" s="4"/>
      <c r="DB51" s="4"/>
      <c r="DC51" s="4"/>
      <c r="DD51" s="160"/>
      <c r="DE51" s="161"/>
      <c r="DF51" s="161"/>
      <c r="DG51" s="161"/>
      <c r="DH51" s="161"/>
      <c r="DI51" s="161"/>
      <c r="DJ51" s="161"/>
      <c r="DK51" s="161"/>
      <c r="DL51" s="161"/>
      <c r="DM51" s="161"/>
      <c r="DN51" s="161"/>
      <c r="DO51" s="161"/>
      <c r="DP51" s="161"/>
      <c r="DQ51" s="161"/>
      <c r="DR51" s="161"/>
      <c r="DS51" s="161"/>
      <c r="DT51" s="161"/>
      <c r="DU51" s="161"/>
      <c r="DV51" s="161"/>
      <c r="DW51" s="161"/>
      <c r="DX51" s="162"/>
      <c r="DY51" s="4"/>
      <c r="DZ51" s="4"/>
      <c r="EA51" s="4"/>
      <c r="EB51" s="4"/>
      <c r="EC51" s="4"/>
      <c r="ED51" s="4"/>
      <c r="EE51" s="4"/>
      <c r="EF51" s="4"/>
      <c r="EG51" s="4"/>
      <c r="EH51" s="4"/>
      <c r="EI51" s="4"/>
      <c r="EJ51" s="4"/>
      <c r="EK51" s="4"/>
      <c r="EL51" s="4"/>
    </row>
    <row r="52" spans="1:142" s="14" customFormat="1" ht="16.5" customHeight="1" thickTop="1" x14ac:dyDescent="0.55000000000000004">
      <c r="A52" s="4"/>
      <c r="B52" s="4"/>
      <c r="C52" s="4"/>
      <c r="BH52" s="183" t="s">
        <v>31</v>
      </c>
      <c r="BI52" s="184"/>
      <c r="BJ52" s="184"/>
      <c r="BK52" s="184"/>
      <c r="BL52" s="184"/>
      <c r="BM52" s="184"/>
      <c r="BN52" s="184"/>
      <c r="BO52" s="184"/>
      <c r="BP52" s="184"/>
      <c r="BQ52" s="184"/>
      <c r="BR52" s="184"/>
      <c r="BS52" s="184"/>
      <c r="BT52" s="184"/>
      <c r="BU52" s="184"/>
      <c r="BV52" s="185"/>
      <c r="BW52" s="4"/>
      <c r="BX52" s="4"/>
      <c r="BY52" s="186">
        <f>BY39-Y39</f>
        <v>-70000</v>
      </c>
      <c r="BZ52" s="187"/>
      <c r="CA52" s="187"/>
      <c r="CB52" s="187"/>
      <c r="CC52" s="187"/>
      <c r="CD52" s="187"/>
      <c r="CE52" s="187"/>
      <c r="CF52" s="187"/>
      <c r="CG52" s="187"/>
      <c r="CH52" s="187"/>
      <c r="CI52" s="187"/>
      <c r="CJ52" s="187"/>
      <c r="CK52" s="187"/>
      <c r="CL52" s="187"/>
      <c r="CM52" s="187"/>
      <c r="CN52" s="187"/>
      <c r="CO52" s="187"/>
      <c r="CP52" s="187"/>
      <c r="CQ52" s="187"/>
      <c r="CR52" s="187"/>
      <c r="CS52" s="187"/>
      <c r="CT52" s="187"/>
      <c r="CU52" s="37"/>
      <c r="CV52" s="38"/>
      <c r="CW52" s="38"/>
      <c r="CX52" s="38"/>
      <c r="CY52" s="4"/>
      <c r="CZ52" s="4"/>
      <c r="DA52" s="4"/>
      <c r="DB52" s="4"/>
      <c r="DC52" s="4"/>
      <c r="DD52" s="190"/>
      <c r="DE52" s="191"/>
      <c r="DF52" s="191"/>
      <c r="DG52" s="191"/>
      <c r="DH52" s="191"/>
      <c r="DI52" s="191"/>
      <c r="DJ52" s="191"/>
      <c r="DK52" s="191"/>
      <c r="DL52" s="191"/>
      <c r="DM52" s="191"/>
      <c r="DN52" s="191"/>
      <c r="DO52" s="191"/>
      <c r="DP52" s="191"/>
      <c r="DQ52" s="191"/>
      <c r="DR52" s="191"/>
      <c r="DS52" s="191"/>
      <c r="DT52" s="191"/>
      <c r="DU52" s="191"/>
      <c r="DV52" s="191"/>
      <c r="DW52" s="191"/>
      <c r="DX52" s="192"/>
      <c r="DY52" s="4"/>
      <c r="DZ52" s="4"/>
      <c r="EA52" s="4"/>
      <c r="EB52" s="4"/>
      <c r="EC52" s="4"/>
      <c r="ED52" s="4"/>
      <c r="EE52" s="4"/>
      <c r="EF52" s="4"/>
      <c r="EG52" s="4"/>
      <c r="EH52" s="4"/>
      <c r="EI52" s="4"/>
      <c r="EJ52" s="4"/>
      <c r="EK52" s="4"/>
      <c r="EL52" s="4"/>
    </row>
    <row r="53" spans="1:142" s="14" customFormat="1" ht="16.5" customHeight="1" thickBot="1" x14ac:dyDescent="0.6">
      <c r="A53" s="4"/>
      <c r="B53" s="4"/>
      <c r="C53" s="4"/>
      <c r="BG53" s="39"/>
      <c r="BH53" s="196">
        <v>0.2</v>
      </c>
      <c r="BI53" s="197"/>
      <c r="BJ53" s="197"/>
      <c r="BK53" s="197"/>
      <c r="BL53" s="197"/>
      <c r="BM53" s="198">
        <v>0.1</v>
      </c>
      <c r="BN53" s="198"/>
      <c r="BO53" s="198"/>
      <c r="BP53" s="198"/>
      <c r="BQ53" s="198"/>
      <c r="BR53" s="164">
        <v>0.05</v>
      </c>
      <c r="BS53" s="164"/>
      <c r="BT53" s="164"/>
      <c r="BU53" s="164"/>
      <c r="BV53" s="165"/>
      <c r="BW53" s="4"/>
      <c r="BX53" s="4"/>
      <c r="BY53" s="188"/>
      <c r="BZ53" s="189"/>
      <c r="CA53" s="189"/>
      <c r="CB53" s="189"/>
      <c r="CC53" s="189"/>
      <c r="CD53" s="189"/>
      <c r="CE53" s="189"/>
      <c r="CF53" s="189"/>
      <c r="CG53" s="189"/>
      <c r="CH53" s="189"/>
      <c r="CI53" s="189"/>
      <c r="CJ53" s="189"/>
      <c r="CK53" s="189"/>
      <c r="CL53" s="189"/>
      <c r="CM53" s="189"/>
      <c r="CN53" s="189"/>
      <c r="CO53" s="189"/>
      <c r="CP53" s="189"/>
      <c r="CQ53" s="189"/>
      <c r="CR53" s="189"/>
      <c r="CS53" s="189"/>
      <c r="CT53" s="189"/>
      <c r="CU53" s="37"/>
      <c r="CV53" s="38"/>
      <c r="CW53" s="38"/>
      <c r="CX53" s="38"/>
      <c r="CY53" s="4"/>
      <c r="CZ53" s="4"/>
      <c r="DA53" s="4"/>
      <c r="DB53" s="4"/>
      <c r="DC53" s="4"/>
      <c r="DD53" s="193"/>
      <c r="DE53" s="194"/>
      <c r="DF53" s="194"/>
      <c r="DG53" s="194"/>
      <c r="DH53" s="194"/>
      <c r="DI53" s="194"/>
      <c r="DJ53" s="194"/>
      <c r="DK53" s="194"/>
      <c r="DL53" s="194"/>
      <c r="DM53" s="194"/>
      <c r="DN53" s="194"/>
      <c r="DO53" s="194"/>
      <c r="DP53" s="194"/>
      <c r="DQ53" s="194"/>
      <c r="DR53" s="194"/>
      <c r="DS53" s="194"/>
      <c r="DT53" s="194"/>
      <c r="DU53" s="194"/>
      <c r="DV53" s="194"/>
      <c r="DW53" s="194"/>
      <c r="DX53" s="195"/>
      <c r="DY53" s="4"/>
      <c r="DZ53" s="4"/>
      <c r="EA53" s="4"/>
      <c r="EB53" s="4"/>
      <c r="EC53" s="4"/>
      <c r="ED53" s="4"/>
      <c r="EE53" s="4"/>
      <c r="EF53" s="4"/>
      <c r="EG53" s="4"/>
      <c r="EH53" s="4"/>
      <c r="EI53" s="4"/>
      <c r="EJ53" s="4"/>
      <c r="EK53" s="4"/>
      <c r="EL53" s="4"/>
    </row>
    <row r="54" spans="1:142" s="14" customFormat="1" ht="25.5" thickTop="1" thickBot="1" x14ac:dyDescent="0.6">
      <c r="A54" s="4"/>
      <c r="B54" s="4"/>
      <c r="C54" s="4"/>
      <c r="BF54" s="166" t="s">
        <v>32</v>
      </c>
      <c r="BG54" s="167"/>
      <c r="BH54" s="168">
        <f>$BY$55*-5</f>
        <v>4200000</v>
      </c>
      <c r="BI54" s="169"/>
      <c r="BJ54" s="169"/>
      <c r="BK54" s="169"/>
      <c r="BL54" s="169"/>
      <c r="BM54" s="173">
        <f>$BY$55*-10</f>
        <v>8400000</v>
      </c>
      <c r="BN54" s="169"/>
      <c r="BO54" s="169"/>
      <c r="BP54" s="169"/>
      <c r="BQ54" s="169"/>
      <c r="BR54" s="173">
        <f>$BY$55*-20</f>
        <v>16800000</v>
      </c>
      <c r="BS54" s="169"/>
      <c r="BT54" s="169"/>
      <c r="BU54" s="169"/>
      <c r="BV54" s="174"/>
      <c r="BW54" s="4"/>
      <c r="BX54" s="4"/>
      <c r="BY54" s="176" t="s">
        <v>33</v>
      </c>
      <c r="BZ54" s="177"/>
      <c r="CA54" s="177"/>
      <c r="CB54" s="177"/>
      <c r="CC54" s="177"/>
      <c r="CD54" s="177"/>
      <c r="CE54" s="177"/>
      <c r="CF54" s="177"/>
      <c r="CG54" s="177"/>
      <c r="CH54" s="177"/>
      <c r="CI54" s="177"/>
      <c r="CJ54" s="177"/>
      <c r="CK54" s="177"/>
      <c r="CL54" s="177"/>
      <c r="CM54" s="177"/>
      <c r="CN54" s="177"/>
      <c r="CO54" s="177"/>
      <c r="CP54" s="177"/>
      <c r="CQ54" s="177"/>
      <c r="CR54" s="177"/>
      <c r="CS54" s="177"/>
      <c r="CT54" s="177"/>
      <c r="CU54" s="35"/>
      <c r="CV54" s="36"/>
      <c r="CW54" s="36"/>
      <c r="CX54" s="36"/>
      <c r="CY54" s="4"/>
      <c r="CZ54" s="4"/>
      <c r="DA54" s="4"/>
      <c r="DB54" s="4"/>
      <c r="DC54" s="4"/>
      <c r="DD54" s="160"/>
      <c r="DE54" s="161"/>
      <c r="DF54" s="161"/>
      <c r="DG54" s="161"/>
      <c r="DH54" s="161"/>
      <c r="DI54" s="161"/>
      <c r="DJ54" s="161"/>
      <c r="DK54" s="161"/>
      <c r="DL54" s="161"/>
      <c r="DM54" s="161"/>
      <c r="DN54" s="161"/>
      <c r="DO54" s="161"/>
      <c r="DP54" s="161"/>
      <c r="DQ54" s="161"/>
      <c r="DR54" s="161"/>
      <c r="DS54" s="161"/>
      <c r="DT54" s="161"/>
      <c r="DU54" s="161"/>
      <c r="DV54" s="161"/>
      <c r="DW54" s="161"/>
      <c r="DX54" s="162"/>
      <c r="DY54" s="4"/>
      <c r="DZ54" s="4"/>
      <c r="EA54" s="4"/>
      <c r="EB54" s="4"/>
      <c r="EC54" s="4"/>
      <c r="ED54" s="4"/>
      <c r="EE54" s="4"/>
      <c r="EF54" s="4"/>
      <c r="EG54" s="4"/>
      <c r="EH54" s="4"/>
      <c r="EI54" s="4"/>
      <c r="EJ54" s="4"/>
      <c r="EK54" s="4"/>
      <c r="EL54" s="4"/>
    </row>
    <row r="55" spans="1:142" s="14" customFormat="1" ht="16.5" customHeight="1" thickTop="1" x14ac:dyDescent="0.55000000000000004">
      <c r="A55" s="4"/>
      <c r="B55" s="4"/>
      <c r="C55" s="4"/>
      <c r="BF55" s="167"/>
      <c r="BG55" s="167"/>
      <c r="BH55" s="170"/>
      <c r="BI55" s="169"/>
      <c r="BJ55" s="169"/>
      <c r="BK55" s="169"/>
      <c r="BL55" s="169"/>
      <c r="BM55" s="169"/>
      <c r="BN55" s="169"/>
      <c r="BO55" s="169"/>
      <c r="BP55" s="169"/>
      <c r="BQ55" s="169"/>
      <c r="BR55" s="169"/>
      <c r="BS55" s="169"/>
      <c r="BT55" s="169"/>
      <c r="BU55" s="169"/>
      <c r="BV55" s="174"/>
      <c r="BW55" s="4"/>
      <c r="BX55" s="4"/>
      <c r="BY55" s="156">
        <f>BY52*12</f>
        <v>-840000</v>
      </c>
      <c r="BZ55" s="157"/>
      <c r="CA55" s="157"/>
      <c r="CB55" s="157"/>
      <c r="CC55" s="157"/>
      <c r="CD55" s="157"/>
      <c r="CE55" s="157"/>
      <c r="CF55" s="157"/>
      <c r="CG55" s="157"/>
      <c r="CH55" s="157"/>
      <c r="CI55" s="157"/>
      <c r="CJ55" s="157"/>
      <c r="CK55" s="157"/>
      <c r="CL55" s="157"/>
      <c r="CM55" s="157"/>
      <c r="CN55" s="157"/>
      <c r="CO55" s="157"/>
      <c r="CP55" s="157"/>
      <c r="CQ55" s="157"/>
      <c r="CR55" s="157"/>
      <c r="CS55" s="157"/>
      <c r="CT55" s="157"/>
      <c r="CU55" s="37"/>
      <c r="CV55" s="38"/>
      <c r="CW55" s="38"/>
      <c r="CX55" s="38"/>
      <c r="CY55" s="4"/>
      <c r="CZ55" s="4"/>
      <c r="DA55" s="4"/>
      <c r="DB55" s="4"/>
      <c r="DC55" s="4"/>
      <c r="DD55" s="199"/>
      <c r="DE55" s="200"/>
      <c r="DF55" s="200"/>
      <c r="DG55" s="200"/>
      <c r="DH55" s="200"/>
      <c r="DI55" s="200"/>
      <c r="DJ55" s="200"/>
      <c r="DK55" s="200"/>
      <c r="DL55" s="200"/>
      <c r="DM55" s="200"/>
      <c r="DN55" s="200"/>
      <c r="DO55" s="200"/>
      <c r="DP55" s="200"/>
      <c r="DQ55" s="200"/>
      <c r="DR55" s="200"/>
      <c r="DS55" s="200"/>
      <c r="DT55" s="200"/>
      <c r="DU55" s="200"/>
      <c r="DV55" s="200"/>
      <c r="DW55" s="200"/>
      <c r="DX55" s="201"/>
      <c r="DY55" s="4"/>
      <c r="DZ55" s="4"/>
      <c r="EA55" s="4"/>
      <c r="EB55" s="4"/>
      <c r="EC55" s="4"/>
      <c r="ED55" s="4"/>
      <c r="EE55" s="4"/>
      <c r="EF55" s="4"/>
      <c r="EG55" s="4"/>
      <c r="EH55" s="4"/>
      <c r="EI55" s="4"/>
      <c r="EJ55" s="4"/>
      <c r="EK55" s="4"/>
      <c r="EL55" s="4"/>
    </row>
    <row r="56" spans="1:142" s="14" customFormat="1" ht="16.5" customHeight="1" thickBot="1" x14ac:dyDescent="0.6">
      <c r="A56" s="4"/>
      <c r="B56" s="4"/>
      <c r="C56" s="4"/>
      <c r="BF56" s="167"/>
      <c r="BG56" s="167"/>
      <c r="BH56" s="171"/>
      <c r="BI56" s="172"/>
      <c r="BJ56" s="172"/>
      <c r="BK56" s="172"/>
      <c r="BL56" s="172"/>
      <c r="BM56" s="172"/>
      <c r="BN56" s="172"/>
      <c r="BO56" s="172"/>
      <c r="BP56" s="172"/>
      <c r="BQ56" s="172"/>
      <c r="BR56" s="172"/>
      <c r="BS56" s="172"/>
      <c r="BT56" s="172"/>
      <c r="BU56" s="172"/>
      <c r="BV56" s="175"/>
      <c r="BW56" s="4"/>
      <c r="BX56" s="4"/>
      <c r="BY56" s="158"/>
      <c r="BZ56" s="159"/>
      <c r="CA56" s="159"/>
      <c r="CB56" s="159"/>
      <c r="CC56" s="159"/>
      <c r="CD56" s="159"/>
      <c r="CE56" s="159"/>
      <c r="CF56" s="159"/>
      <c r="CG56" s="159"/>
      <c r="CH56" s="159"/>
      <c r="CI56" s="159"/>
      <c r="CJ56" s="159"/>
      <c r="CK56" s="159"/>
      <c r="CL56" s="159"/>
      <c r="CM56" s="159"/>
      <c r="CN56" s="159"/>
      <c r="CO56" s="159"/>
      <c r="CP56" s="159"/>
      <c r="CQ56" s="159"/>
      <c r="CR56" s="159"/>
      <c r="CS56" s="159"/>
      <c r="CT56" s="159"/>
      <c r="CU56" s="37"/>
      <c r="CV56" s="38"/>
      <c r="CW56" s="38"/>
      <c r="CX56" s="38"/>
      <c r="CY56" s="4"/>
      <c r="CZ56" s="4"/>
      <c r="DA56" s="4"/>
      <c r="DB56" s="4"/>
      <c r="DC56" s="4"/>
      <c r="DD56" s="202"/>
      <c r="DE56" s="203"/>
      <c r="DF56" s="203"/>
      <c r="DG56" s="203"/>
      <c r="DH56" s="203"/>
      <c r="DI56" s="203"/>
      <c r="DJ56" s="203"/>
      <c r="DK56" s="203"/>
      <c r="DL56" s="203"/>
      <c r="DM56" s="203"/>
      <c r="DN56" s="203"/>
      <c r="DO56" s="203"/>
      <c r="DP56" s="203"/>
      <c r="DQ56" s="203"/>
      <c r="DR56" s="203"/>
      <c r="DS56" s="203"/>
      <c r="DT56" s="203"/>
      <c r="DU56" s="203"/>
      <c r="DV56" s="203"/>
      <c r="DW56" s="203"/>
      <c r="DX56" s="204"/>
      <c r="DY56" s="4"/>
      <c r="DZ56" s="4"/>
      <c r="EA56" s="4"/>
      <c r="EB56" s="4"/>
      <c r="EC56" s="4"/>
      <c r="ED56" s="4"/>
      <c r="EE56" s="4"/>
      <c r="EF56" s="4"/>
      <c r="EG56" s="4"/>
      <c r="EH56" s="4"/>
      <c r="EI56" s="4"/>
      <c r="EJ56" s="4"/>
      <c r="EK56" s="4"/>
      <c r="EL56" s="4"/>
    </row>
    <row r="57" spans="1:142" s="14" customFormat="1" ht="25.5" thickTop="1" thickBot="1" x14ac:dyDescent="0.6">
      <c r="A57" s="4"/>
      <c r="B57" s="4"/>
      <c r="C57" s="4"/>
      <c r="BL57" s="4"/>
      <c r="BM57" s="4"/>
      <c r="BN57" s="4"/>
      <c r="BO57" s="4"/>
      <c r="BP57" s="4"/>
      <c r="BQ57" s="4"/>
      <c r="BR57" s="4"/>
      <c r="BS57" s="4"/>
      <c r="BT57" s="4"/>
      <c r="BU57" s="4"/>
      <c r="BV57" s="4"/>
      <c r="BW57" s="4"/>
      <c r="BX57" s="4"/>
      <c r="BY57" s="176" t="s">
        <v>34</v>
      </c>
      <c r="BZ57" s="177"/>
      <c r="CA57" s="177"/>
      <c r="CB57" s="177"/>
      <c r="CC57" s="177"/>
      <c r="CD57" s="177"/>
      <c r="CE57" s="177"/>
      <c r="CF57" s="177"/>
      <c r="CG57" s="177"/>
      <c r="CH57" s="177"/>
      <c r="CI57" s="177"/>
      <c r="CJ57" s="177"/>
      <c r="CK57" s="177"/>
      <c r="CL57" s="177"/>
      <c r="CM57" s="177"/>
      <c r="CN57" s="177"/>
      <c r="CO57" s="177"/>
      <c r="CP57" s="177"/>
      <c r="CQ57" s="177"/>
      <c r="CR57" s="177"/>
      <c r="CS57" s="177"/>
      <c r="CT57" s="177"/>
      <c r="CU57" s="35"/>
      <c r="CV57" s="36"/>
      <c r="CW57" s="36"/>
      <c r="CX57" s="36"/>
      <c r="CY57" s="4"/>
      <c r="CZ57" s="4"/>
      <c r="DA57" s="4"/>
      <c r="DB57" s="4"/>
      <c r="DC57" s="4"/>
      <c r="DD57" s="160"/>
      <c r="DE57" s="161"/>
      <c r="DF57" s="161"/>
      <c r="DG57" s="161"/>
      <c r="DH57" s="161"/>
      <c r="DI57" s="161"/>
      <c r="DJ57" s="161"/>
      <c r="DK57" s="161"/>
      <c r="DL57" s="161"/>
      <c r="DM57" s="161"/>
      <c r="DN57" s="161"/>
      <c r="DO57" s="161"/>
      <c r="DP57" s="161"/>
      <c r="DQ57" s="161"/>
      <c r="DR57" s="161"/>
      <c r="DS57" s="161"/>
      <c r="DT57" s="161"/>
      <c r="DU57" s="161"/>
      <c r="DV57" s="161"/>
      <c r="DW57" s="161"/>
      <c r="DX57" s="162"/>
      <c r="DY57" s="4"/>
      <c r="DZ57" s="4"/>
      <c r="EA57" s="4"/>
      <c r="EB57" s="4"/>
      <c r="EC57" s="4"/>
      <c r="ED57" s="4"/>
      <c r="EE57" s="4"/>
      <c r="EF57" s="4"/>
      <c r="EG57" s="4"/>
      <c r="EH57" s="4"/>
      <c r="EI57" s="4"/>
      <c r="EJ57" s="4"/>
      <c r="EK57" s="4"/>
      <c r="EL57" s="4"/>
    </row>
    <row r="58" spans="1:142" s="14" customFormat="1" ht="16.5" customHeight="1" thickTop="1" x14ac:dyDescent="0.55000000000000004">
      <c r="A58" s="4"/>
      <c r="B58" s="4"/>
      <c r="C58" s="4"/>
      <c r="BH58" s="205" t="s">
        <v>36</v>
      </c>
      <c r="BI58" s="206"/>
      <c r="BJ58" s="206"/>
      <c r="BK58" s="206"/>
      <c r="BL58" s="206"/>
      <c r="BM58" s="206"/>
      <c r="BN58" s="206"/>
      <c r="BO58" s="206"/>
      <c r="BP58" s="206"/>
      <c r="BQ58" s="206"/>
      <c r="BR58" s="206"/>
      <c r="BS58" s="206"/>
      <c r="BT58" s="206"/>
      <c r="BU58" s="206"/>
      <c r="BV58" s="206"/>
      <c r="BW58" s="4"/>
      <c r="BX58" s="4"/>
      <c r="BY58" s="156">
        <f>BY55*10</f>
        <v>-8400000</v>
      </c>
      <c r="BZ58" s="157"/>
      <c r="CA58" s="157"/>
      <c r="CB58" s="157"/>
      <c r="CC58" s="157"/>
      <c r="CD58" s="157"/>
      <c r="CE58" s="157"/>
      <c r="CF58" s="157"/>
      <c r="CG58" s="157"/>
      <c r="CH58" s="157"/>
      <c r="CI58" s="157"/>
      <c r="CJ58" s="157"/>
      <c r="CK58" s="157"/>
      <c r="CL58" s="157"/>
      <c r="CM58" s="157"/>
      <c r="CN58" s="157"/>
      <c r="CO58" s="157"/>
      <c r="CP58" s="157"/>
      <c r="CQ58" s="157"/>
      <c r="CR58" s="157"/>
      <c r="CS58" s="157"/>
      <c r="CT58" s="157"/>
      <c r="CU58" s="37"/>
      <c r="CV58" s="38"/>
      <c r="CW58" s="38"/>
      <c r="CX58" s="38"/>
      <c r="CY58" s="4"/>
      <c r="CZ58" s="4"/>
      <c r="DA58" s="4"/>
      <c r="DB58" s="4"/>
      <c r="DC58" s="4"/>
      <c r="DD58" s="199"/>
      <c r="DE58" s="200"/>
      <c r="DF58" s="200"/>
      <c r="DG58" s="200"/>
      <c r="DH58" s="200"/>
      <c r="DI58" s="200"/>
      <c r="DJ58" s="200"/>
      <c r="DK58" s="200"/>
      <c r="DL58" s="200"/>
      <c r="DM58" s="200"/>
      <c r="DN58" s="200"/>
      <c r="DO58" s="200"/>
      <c r="DP58" s="200"/>
      <c r="DQ58" s="200"/>
      <c r="DR58" s="200"/>
      <c r="DS58" s="200"/>
      <c r="DT58" s="200"/>
      <c r="DU58" s="200"/>
      <c r="DV58" s="200"/>
      <c r="DW58" s="200"/>
      <c r="DX58" s="201"/>
      <c r="DY58" s="4"/>
      <c r="DZ58" s="4"/>
      <c r="EA58" s="4"/>
      <c r="EB58" s="4"/>
      <c r="EC58" s="4"/>
      <c r="ED58" s="4"/>
      <c r="EE58" s="4"/>
      <c r="EF58" s="4"/>
      <c r="EG58" s="4"/>
      <c r="EH58" s="4"/>
      <c r="EI58" s="4"/>
      <c r="EJ58" s="4"/>
      <c r="EK58" s="4"/>
      <c r="EL58" s="4"/>
    </row>
    <row r="59" spans="1:142" s="14" customFormat="1" ht="16.5" customHeight="1" thickBot="1" x14ac:dyDescent="0.6">
      <c r="A59" s="4"/>
      <c r="B59" s="4"/>
      <c r="C59" s="4"/>
      <c r="BH59" s="206"/>
      <c r="BI59" s="206"/>
      <c r="BJ59" s="206"/>
      <c r="BK59" s="206"/>
      <c r="BL59" s="206"/>
      <c r="BM59" s="206"/>
      <c r="BN59" s="206"/>
      <c r="BO59" s="206"/>
      <c r="BP59" s="206"/>
      <c r="BQ59" s="206"/>
      <c r="BR59" s="206"/>
      <c r="BS59" s="206"/>
      <c r="BT59" s="206"/>
      <c r="BU59" s="206"/>
      <c r="BV59" s="206"/>
      <c r="BW59" s="4"/>
      <c r="BX59" s="4"/>
      <c r="BY59" s="158"/>
      <c r="BZ59" s="159"/>
      <c r="CA59" s="159"/>
      <c r="CB59" s="159"/>
      <c r="CC59" s="159"/>
      <c r="CD59" s="159"/>
      <c r="CE59" s="159"/>
      <c r="CF59" s="159"/>
      <c r="CG59" s="159"/>
      <c r="CH59" s="159"/>
      <c r="CI59" s="159"/>
      <c r="CJ59" s="159"/>
      <c r="CK59" s="159"/>
      <c r="CL59" s="159"/>
      <c r="CM59" s="159"/>
      <c r="CN59" s="159"/>
      <c r="CO59" s="159"/>
      <c r="CP59" s="159"/>
      <c r="CQ59" s="159"/>
      <c r="CR59" s="159"/>
      <c r="CS59" s="159"/>
      <c r="CT59" s="159"/>
      <c r="CU59" s="37"/>
      <c r="CV59" s="38"/>
      <c r="CW59" s="38"/>
      <c r="CX59" s="38"/>
      <c r="CY59" s="4"/>
      <c r="CZ59" s="4"/>
      <c r="DA59" s="4"/>
      <c r="DB59" s="4"/>
      <c r="DC59" s="4"/>
      <c r="DD59" s="202"/>
      <c r="DE59" s="203"/>
      <c r="DF59" s="203"/>
      <c r="DG59" s="203"/>
      <c r="DH59" s="203"/>
      <c r="DI59" s="203"/>
      <c r="DJ59" s="203"/>
      <c r="DK59" s="203"/>
      <c r="DL59" s="203"/>
      <c r="DM59" s="203"/>
      <c r="DN59" s="203"/>
      <c r="DO59" s="203"/>
      <c r="DP59" s="203"/>
      <c r="DQ59" s="203"/>
      <c r="DR59" s="203"/>
      <c r="DS59" s="203"/>
      <c r="DT59" s="203"/>
      <c r="DU59" s="203"/>
      <c r="DV59" s="203"/>
      <c r="DW59" s="203"/>
      <c r="DX59" s="204"/>
      <c r="DY59" s="4"/>
      <c r="DZ59" s="4"/>
      <c r="EA59" s="4"/>
      <c r="EB59" s="4"/>
      <c r="EC59" s="4"/>
      <c r="ED59" s="4"/>
      <c r="EE59" s="4"/>
      <c r="EF59" s="4"/>
      <c r="EG59" s="4"/>
      <c r="EH59" s="4"/>
      <c r="EI59" s="4"/>
      <c r="EJ59" s="4"/>
      <c r="EK59" s="4"/>
      <c r="EL59" s="4"/>
    </row>
    <row r="60" spans="1:142" s="14" customFormat="1" ht="25.5" thickTop="1" thickBot="1" x14ac:dyDescent="0.6">
      <c r="A60" s="4"/>
      <c r="B60" s="4"/>
      <c r="C60" s="4"/>
      <c r="BH60" s="206"/>
      <c r="BI60" s="206"/>
      <c r="BJ60" s="206"/>
      <c r="BK60" s="206"/>
      <c r="BL60" s="206"/>
      <c r="BM60" s="206"/>
      <c r="BN60" s="206"/>
      <c r="BO60" s="206"/>
      <c r="BP60" s="206"/>
      <c r="BQ60" s="206"/>
      <c r="BR60" s="206"/>
      <c r="BS60" s="206"/>
      <c r="BT60" s="206"/>
      <c r="BU60" s="206"/>
      <c r="BV60" s="206"/>
      <c r="BW60" s="4"/>
      <c r="BX60" s="4"/>
      <c r="BY60" s="176" t="s">
        <v>37</v>
      </c>
      <c r="BZ60" s="177"/>
      <c r="CA60" s="177"/>
      <c r="CB60" s="177"/>
      <c r="CC60" s="177"/>
      <c r="CD60" s="177"/>
      <c r="CE60" s="177"/>
      <c r="CF60" s="177"/>
      <c r="CG60" s="177"/>
      <c r="CH60" s="177"/>
      <c r="CI60" s="177"/>
      <c r="CJ60" s="177"/>
      <c r="CK60" s="177"/>
      <c r="CL60" s="177"/>
      <c r="CM60" s="177"/>
      <c r="CN60" s="177"/>
      <c r="CO60" s="177"/>
      <c r="CP60" s="177"/>
      <c r="CQ60" s="177"/>
      <c r="CR60" s="177"/>
      <c r="CS60" s="177"/>
      <c r="CT60" s="177"/>
      <c r="CU60" s="35"/>
      <c r="CV60" s="36"/>
      <c r="CW60" s="36"/>
      <c r="CX60" s="36"/>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row>
    <row r="61" spans="1:142" s="14" customFormat="1" ht="16.5" customHeight="1" thickTop="1" x14ac:dyDescent="0.55000000000000004">
      <c r="A61" s="4"/>
      <c r="B61" s="4"/>
      <c r="C61" s="4"/>
      <c r="BH61" s="206"/>
      <c r="BI61" s="206"/>
      <c r="BJ61" s="206"/>
      <c r="BK61" s="206"/>
      <c r="BL61" s="206"/>
      <c r="BM61" s="206"/>
      <c r="BN61" s="206"/>
      <c r="BO61" s="206"/>
      <c r="BP61" s="206"/>
      <c r="BQ61" s="206"/>
      <c r="BR61" s="206"/>
      <c r="BS61" s="206"/>
      <c r="BT61" s="206"/>
      <c r="BU61" s="206"/>
      <c r="BV61" s="206"/>
      <c r="BW61" s="4"/>
      <c r="BX61" s="4"/>
      <c r="BY61" s="207">
        <f>BY52/Y39</f>
        <v>-0.18469656992084432</v>
      </c>
      <c r="BZ61" s="208"/>
      <c r="CA61" s="208"/>
      <c r="CB61" s="208"/>
      <c r="CC61" s="208"/>
      <c r="CD61" s="208"/>
      <c r="CE61" s="208"/>
      <c r="CF61" s="208"/>
      <c r="CG61" s="208"/>
      <c r="CH61" s="208"/>
      <c r="CI61" s="208"/>
      <c r="CJ61" s="208"/>
      <c r="CK61" s="208"/>
      <c r="CL61" s="208"/>
      <c r="CM61" s="208"/>
      <c r="CN61" s="208"/>
      <c r="CO61" s="208"/>
      <c r="CP61" s="208"/>
      <c r="CQ61" s="208"/>
      <c r="CR61" s="208"/>
      <c r="CS61" s="208"/>
      <c r="CT61" s="208"/>
      <c r="CU61" s="40"/>
      <c r="CV61" s="41"/>
      <c r="CW61" s="41"/>
      <c r="CX61" s="41"/>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row>
    <row r="62" spans="1:142" s="14" customFormat="1" ht="16.5" customHeight="1" thickBot="1" x14ac:dyDescent="0.6">
      <c r="A62" s="4"/>
      <c r="B62" s="4"/>
      <c r="C62" s="4"/>
      <c r="BM62" s="42"/>
      <c r="BN62" s="42"/>
      <c r="BO62" s="42"/>
      <c r="BP62" s="42"/>
      <c r="BQ62" s="42"/>
      <c r="BR62" s="4"/>
      <c r="BS62" s="4"/>
      <c r="BT62" s="4"/>
      <c r="BU62" s="4"/>
      <c r="BV62" s="4"/>
      <c r="BW62" s="4"/>
      <c r="BX62" s="4"/>
      <c r="BY62" s="209"/>
      <c r="BZ62" s="210"/>
      <c r="CA62" s="210"/>
      <c r="CB62" s="210"/>
      <c r="CC62" s="210"/>
      <c r="CD62" s="210"/>
      <c r="CE62" s="210"/>
      <c r="CF62" s="210"/>
      <c r="CG62" s="210"/>
      <c r="CH62" s="210"/>
      <c r="CI62" s="210"/>
      <c r="CJ62" s="210"/>
      <c r="CK62" s="210"/>
      <c r="CL62" s="210"/>
      <c r="CM62" s="210"/>
      <c r="CN62" s="210"/>
      <c r="CO62" s="210"/>
      <c r="CP62" s="210"/>
      <c r="CQ62" s="210"/>
      <c r="CR62" s="210"/>
      <c r="CS62" s="210"/>
      <c r="CT62" s="210"/>
      <c r="CU62" s="40"/>
      <c r="CV62" s="41"/>
      <c r="CW62" s="41"/>
      <c r="CX62" s="41"/>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row>
    <row r="63" spans="1:142" ht="15.5" thickTop="1" x14ac:dyDescent="0.55000000000000004"/>
    <row r="66" spans="4:116" x14ac:dyDescent="0.25">
      <c r="D66" s="211" t="s">
        <v>38</v>
      </c>
      <c r="E66" s="211"/>
      <c r="F66" s="211"/>
      <c r="G66" s="211"/>
      <c r="H66" s="211"/>
      <c r="I66" s="211"/>
      <c r="J66" s="211"/>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row>
    <row r="67" spans="4:116" ht="15.5" thickBot="1" x14ac:dyDescent="0.3">
      <c r="D67" s="211"/>
      <c r="E67" s="211"/>
      <c r="F67" s="211"/>
      <c r="G67" s="211"/>
      <c r="H67" s="211"/>
      <c r="I67" s="211"/>
      <c r="J67" s="211"/>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row>
    <row r="68" spans="4:116" x14ac:dyDescent="0.25">
      <c r="D68" s="212" t="s">
        <v>60</v>
      </c>
      <c r="E68" s="213"/>
      <c r="F68" s="213"/>
      <c r="G68" s="213"/>
      <c r="H68" s="213"/>
      <c r="I68" s="213"/>
      <c r="J68" s="213"/>
      <c r="K68" s="213"/>
      <c r="L68" s="213"/>
      <c r="M68" s="213"/>
      <c r="N68" s="213"/>
      <c r="O68" s="213"/>
      <c r="P68" s="213"/>
      <c r="Q68" s="213"/>
      <c r="R68" s="213"/>
      <c r="S68" s="213"/>
      <c r="T68" s="213"/>
      <c r="U68" s="213"/>
      <c r="V68" s="213"/>
      <c r="W68" s="213"/>
      <c r="X68" s="213"/>
      <c r="Y68" s="213"/>
      <c r="Z68" s="213"/>
      <c r="AA68" s="213"/>
      <c r="AB68" s="213"/>
      <c r="AC68" s="213"/>
      <c r="AD68" s="213"/>
      <c r="AE68" s="213"/>
      <c r="AF68" s="213"/>
      <c r="AG68" s="213"/>
      <c r="AH68" s="213"/>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c r="BF68" s="213"/>
      <c r="BG68" s="213"/>
      <c r="BH68" s="213"/>
      <c r="BI68" s="213"/>
      <c r="BJ68" s="213"/>
      <c r="BK68" s="213"/>
      <c r="BL68" s="214"/>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row>
    <row r="69" spans="4:116" x14ac:dyDescent="0.25">
      <c r="D69" s="215"/>
      <c r="E69" s="216"/>
      <c r="F69" s="216"/>
      <c r="G69" s="216"/>
      <c r="H69" s="216"/>
      <c r="I69" s="216"/>
      <c r="J69" s="216"/>
      <c r="K69" s="216"/>
      <c r="L69" s="216"/>
      <c r="M69" s="216"/>
      <c r="N69" s="216"/>
      <c r="O69" s="216"/>
      <c r="P69" s="216"/>
      <c r="Q69" s="216"/>
      <c r="R69" s="216"/>
      <c r="S69" s="216"/>
      <c r="T69" s="216"/>
      <c r="U69" s="216"/>
      <c r="V69" s="216"/>
      <c r="W69" s="216"/>
      <c r="X69" s="216"/>
      <c r="Y69" s="216"/>
      <c r="Z69" s="216"/>
      <c r="AA69" s="216"/>
      <c r="AB69" s="216"/>
      <c r="AC69" s="216"/>
      <c r="AD69" s="216"/>
      <c r="AE69" s="216"/>
      <c r="AF69" s="216"/>
      <c r="AG69" s="216"/>
      <c r="AH69" s="216"/>
      <c r="AI69" s="216"/>
      <c r="AJ69" s="216"/>
      <c r="AK69" s="216"/>
      <c r="AL69" s="216"/>
      <c r="AM69" s="216"/>
      <c r="AN69" s="216"/>
      <c r="AO69" s="216"/>
      <c r="AP69" s="216"/>
      <c r="AQ69" s="216"/>
      <c r="AR69" s="216"/>
      <c r="AS69" s="216"/>
      <c r="AT69" s="216"/>
      <c r="AU69" s="216"/>
      <c r="AV69" s="216"/>
      <c r="AW69" s="216"/>
      <c r="AX69" s="216"/>
      <c r="AY69" s="216"/>
      <c r="AZ69" s="216"/>
      <c r="BA69" s="216"/>
      <c r="BB69" s="216"/>
      <c r="BC69" s="216"/>
      <c r="BD69" s="216"/>
      <c r="BE69" s="216"/>
      <c r="BF69" s="216"/>
      <c r="BG69" s="216"/>
      <c r="BH69" s="216"/>
      <c r="BI69" s="216"/>
      <c r="BJ69" s="216"/>
      <c r="BK69" s="216"/>
      <c r="BL69" s="217"/>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row>
    <row r="70" spans="4:116" x14ac:dyDescent="0.25">
      <c r="D70" s="215"/>
      <c r="E70" s="216"/>
      <c r="F70" s="216"/>
      <c r="G70" s="216"/>
      <c r="H70" s="216"/>
      <c r="I70" s="216"/>
      <c r="J70" s="216"/>
      <c r="K70" s="216"/>
      <c r="L70" s="216"/>
      <c r="M70" s="216"/>
      <c r="N70" s="216"/>
      <c r="O70" s="216"/>
      <c r="P70" s="216"/>
      <c r="Q70" s="216"/>
      <c r="R70" s="216"/>
      <c r="S70" s="216"/>
      <c r="T70" s="216"/>
      <c r="U70" s="216"/>
      <c r="V70" s="216"/>
      <c r="W70" s="216"/>
      <c r="X70" s="216"/>
      <c r="Y70" s="216"/>
      <c r="Z70" s="216"/>
      <c r="AA70" s="216"/>
      <c r="AB70" s="216"/>
      <c r="AC70" s="216"/>
      <c r="AD70" s="216"/>
      <c r="AE70" s="216"/>
      <c r="AF70" s="216"/>
      <c r="AG70" s="216"/>
      <c r="AH70" s="216"/>
      <c r="AI70" s="216"/>
      <c r="AJ70" s="216"/>
      <c r="AK70" s="216"/>
      <c r="AL70" s="216"/>
      <c r="AM70" s="216"/>
      <c r="AN70" s="216"/>
      <c r="AO70" s="216"/>
      <c r="AP70" s="216"/>
      <c r="AQ70" s="216"/>
      <c r="AR70" s="216"/>
      <c r="AS70" s="216"/>
      <c r="AT70" s="216"/>
      <c r="AU70" s="216"/>
      <c r="AV70" s="216"/>
      <c r="AW70" s="216"/>
      <c r="AX70" s="216"/>
      <c r="AY70" s="216"/>
      <c r="AZ70" s="216"/>
      <c r="BA70" s="216"/>
      <c r="BB70" s="216"/>
      <c r="BC70" s="216"/>
      <c r="BD70" s="216"/>
      <c r="BE70" s="216"/>
      <c r="BF70" s="216"/>
      <c r="BG70" s="216"/>
      <c r="BH70" s="216"/>
      <c r="BI70" s="216"/>
      <c r="BJ70" s="216"/>
      <c r="BK70" s="216"/>
      <c r="BL70" s="217"/>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row>
    <row r="71" spans="4:116" x14ac:dyDescent="0.25">
      <c r="D71" s="215"/>
      <c r="E71" s="216"/>
      <c r="F71" s="216"/>
      <c r="G71" s="216"/>
      <c r="H71" s="216"/>
      <c r="I71" s="216"/>
      <c r="J71" s="216"/>
      <c r="K71" s="216"/>
      <c r="L71" s="216"/>
      <c r="M71" s="216"/>
      <c r="N71" s="216"/>
      <c r="O71" s="216"/>
      <c r="P71" s="216"/>
      <c r="Q71" s="216"/>
      <c r="R71" s="216"/>
      <c r="S71" s="216"/>
      <c r="T71" s="216"/>
      <c r="U71" s="216"/>
      <c r="V71" s="216"/>
      <c r="W71" s="216"/>
      <c r="X71" s="216"/>
      <c r="Y71" s="216"/>
      <c r="Z71" s="216"/>
      <c r="AA71" s="216"/>
      <c r="AB71" s="216"/>
      <c r="AC71" s="216"/>
      <c r="AD71" s="216"/>
      <c r="AE71" s="216"/>
      <c r="AF71" s="216"/>
      <c r="AG71" s="216"/>
      <c r="AH71" s="216"/>
      <c r="AI71" s="216"/>
      <c r="AJ71" s="216"/>
      <c r="AK71" s="216"/>
      <c r="AL71" s="216"/>
      <c r="AM71" s="216"/>
      <c r="AN71" s="216"/>
      <c r="AO71" s="216"/>
      <c r="AP71" s="216"/>
      <c r="AQ71" s="216"/>
      <c r="AR71" s="216"/>
      <c r="AS71" s="216"/>
      <c r="AT71" s="216"/>
      <c r="AU71" s="216"/>
      <c r="AV71" s="216"/>
      <c r="AW71" s="216"/>
      <c r="AX71" s="216"/>
      <c r="AY71" s="216"/>
      <c r="AZ71" s="216"/>
      <c r="BA71" s="216"/>
      <c r="BB71" s="216"/>
      <c r="BC71" s="216"/>
      <c r="BD71" s="216"/>
      <c r="BE71" s="216"/>
      <c r="BF71" s="216"/>
      <c r="BG71" s="216"/>
      <c r="BH71" s="216"/>
      <c r="BI71" s="216"/>
      <c r="BJ71" s="216"/>
      <c r="BK71" s="216"/>
      <c r="BL71" s="217"/>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row>
    <row r="72" spans="4:116" x14ac:dyDescent="0.25">
      <c r="D72" s="215"/>
      <c r="E72" s="216"/>
      <c r="F72" s="216"/>
      <c r="G72" s="216"/>
      <c r="H72" s="216"/>
      <c r="I72" s="216"/>
      <c r="J72" s="216"/>
      <c r="K72" s="216"/>
      <c r="L72" s="216"/>
      <c r="M72" s="216"/>
      <c r="N72" s="216"/>
      <c r="O72" s="216"/>
      <c r="P72" s="216"/>
      <c r="Q72" s="216"/>
      <c r="R72" s="216"/>
      <c r="S72" s="216"/>
      <c r="T72" s="216"/>
      <c r="U72" s="216"/>
      <c r="V72" s="216"/>
      <c r="W72" s="216"/>
      <c r="X72" s="216"/>
      <c r="Y72" s="216"/>
      <c r="Z72" s="216"/>
      <c r="AA72" s="216"/>
      <c r="AB72" s="216"/>
      <c r="AC72" s="216"/>
      <c r="AD72" s="216"/>
      <c r="AE72" s="216"/>
      <c r="AF72" s="216"/>
      <c r="AG72" s="216"/>
      <c r="AH72" s="216"/>
      <c r="AI72" s="216"/>
      <c r="AJ72" s="216"/>
      <c r="AK72" s="216"/>
      <c r="AL72" s="216"/>
      <c r="AM72" s="216"/>
      <c r="AN72" s="216"/>
      <c r="AO72" s="216"/>
      <c r="AP72" s="216"/>
      <c r="AQ72" s="216"/>
      <c r="AR72" s="216"/>
      <c r="AS72" s="216"/>
      <c r="AT72" s="216"/>
      <c r="AU72" s="216"/>
      <c r="AV72" s="216"/>
      <c r="AW72" s="216"/>
      <c r="AX72" s="216"/>
      <c r="AY72" s="216"/>
      <c r="AZ72" s="216"/>
      <c r="BA72" s="216"/>
      <c r="BB72" s="216"/>
      <c r="BC72" s="216"/>
      <c r="BD72" s="216"/>
      <c r="BE72" s="216"/>
      <c r="BF72" s="216"/>
      <c r="BG72" s="216"/>
      <c r="BH72" s="216"/>
      <c r="BI72" s="216"/>
      <c r="BJ72" s="216"/>
      <c r="BK72" s="216"/>
      <c r="BL72" s="217"/>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row>
    <row r="73" spans="4:116" x14ac:dyDescent="0.25">
      <c r="D73" s="215"/>
      <c r="E73" s="216"/>
      <c r="F73" s="216"/>
      <c r="G73" s="216"/>
      <c r="H73" s="216"/>
      <c r="I73" s="216"/>
      <c r="J73" s="216"/>
      <c r="K73" s="216"/>
      <c r="L73" s="216"/>
      <c r="M73" s="216"/>
      <c r="N73" s="216"/>
      <c r="O73" s="216"/>
      <c r="P73" s="216"/>
      <c r="Q73" s="216"/>
      <c r="R73" s="216"/>
      <c r="S73" s="216"/>
      <c r="T73" s="216"/>
      <c r="U73" s="216"/>
      <c r="V73" s="216"/>
      <c r="W73" s="216"/>
      <c r="X73" s="216"/>
      <c r="Y73" s="216"/>
      <c r="Z73" s="216"/>
      <c r="AA73" s="216"/>
      <c r="AB73" s="216"/>
      <c r="AC73" s="216"/>
      <c r="AD73" s="216"/>
      <c r="AE73" s="216"/>
      <c r="AF73" s="216"/>
      <c r="AG73" s="216"/>
      <c r="AH73" s="216"/>
      <c r="AI73" s="216"/>
      <c r="AJ73" s="216"/>
      <c r="AK73" s="216"/>
      <c r="AL73" s="216"/>
      <c r="AM73" s="216"/>
      <c r="AN73" s="216"/>
      <c r="AO73" s="216"/>
      <c r="AP73" s="216"/>
      <c r="AQ73" s="216"/>
      <c r="AR73" s="216"/>
      <c r="AS73" s="216"/>
      <c r="AT73" s="216"/>
      <c r="AU73" s="216"/>
      <c r="AV73" s="216"/>
      <c r="AW73" s="216"/>
      <c r="AX73" s="216"/>
      <c r="AY73" s="216"/>
      <c r="AZ73" s="216"/>
      <c r="BA73" s="216"/>
      <c r="BB73" s="216"/>
      <c r="BC73" s="216"/>
      <c r="BD73" s="216"/>
      <c r="BE73" s="216"/>
      <c r="BF73" s="216"/>
      <c r="BG73" s="216"/>
      <c r="BH73" s="216"/>
      <c r="BI73" s="216"/>
      <c r="BJ73" s="216"/>
      <c r="BK73" s="216"/>
      <c r="BL73" s="217"/>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row>
    <row r="74" spans="4:116" x14ac:dyDescent="0.25">
      <c r="D74" s="215"/>
      <c r="E74" s="216"/>
      <c r="F74" s="216"/>
      <c r="G74" s="216"/>
      <c r="H74" s="216"/>
      <c r="I74" s="216"/>
      <c r="J74" s="216"/>
      <c r="K74" s="216"/>
      <c r="L74" s="216"/>
      <c r="M74" s="216"/>
      <c r="N74" s="216"/>
      <c r="O74" s="216"/>
      <c r="P74" s="216"/>
      <c r="Q74" s="216"/>
      <c r="R74" s="216"/>
      <c r="S74" s="216"/>
      <c r="T74" s="216"/>
      <c r="U74" s="216"/>
      <c r="V74" s="216"/>
      <c r="W74" s="216"/>
      <c r="X74" s="216"/>
      <c r="Y74" s="216"/>
      <c r="Z74" s="216"/>
      <c r="AA74" s="216"/>
      <c r="AB74" s="216"/>
      <c r="AC74" s="216"/>
      <c r="AD74" s="216"/>
      <c r="AE74" s="216"/>
      <c r="AF74" s="216"/>
      <c r="AG74" s="216"/>
      <c r="AH74" s="216"/>
      <c r="AI74" s="216"/>
      <c r="AJ74" s="216"/>
      <c r="AK74" s="216"/>
      <c r="AL74" s="216"/>
      <c r="AM74" s="216"/>
      <c r="AN74" s="216"/>
      <c r="AO74" s="216"/>
      <c r="AP74" s="216"/>
      <c r="AQ74" s="216"/>
      <c r="AR74" s="216"/>
      <c r="AS74" s="216"/>
      <c r="AT74" s="216"/>
      <c r="AU74" s="216"/>
      <c r="AV74" s="216"/>
      <c r="AW74" s="216"/>
      <c r="AX74" s="216"/>
      <c r="AY74" s="216"/>
      <c r="AZ74" s="216"/>
      <c r="BA74" s="216"/>
      <c r="BB74" s="216"/>
      <c r="BC74" s="216"/>
      <c r="BD74" s="216"/>
      <c r="BE74" s="216"/>
      <c r="BF74" s="216"/>
      <c r="BG74" s="216"/>
      <c r="BH74" s="216"/>
      <c r="BI74" s="216"/>
      <c r="BJ74" s="216"/>
      <c r="BK74" s="216"/>
      <c r="BL74" s="217"/>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row>
    <row r="75" spans="4:116" x14ac:dyDescent="0.25">
      <c r="D75" s="215"/>
      <c r="E75" s="216"/>
      <c r="F75" s="216"/>
      <c r="G75" s="216"/>
      <c r="H75" s="216"/>
      <c r="I75" s="216"/>
      <c r="J75" s="216"/>
      <c r="K75" s="216"/>
      <c r="L75" s="216"/>
      <c r="M75" s="216"/>
      <c r="N75" s="216"/>
      <c r="O75" s="216"/>
      <c r="P75" s="216"/>
      <c r="Q75" s="216"/>
      <c r="R75" s="216"/>
      <c r="S75" s="216"/>
      <c r="T75" s="216"/>
      <c r="U75" s="216"/>
      <c r="V75" s="216"/>
      <c r="W75" s="216"/>
      <c r="X75" s="216"/>
      <c r="Y75" s="216"/>
      <c r="Z75" s="216"/>
      <c r="AA75" s="216"/>
      <c r="AB75" s="216"/>
      <c r="AC75" s="216"/>
      <c r="AD75" s="216"/>
      <c r="AE75" s="216"/>
      <c r="AF75" s="216"/>
      <c r="AG75" s="216"/>
      <c r="AH75" s="216"/>
      <c r="AI75" s="216"/>
      <c r="AJ75" s="216"/>
      <c r="AK75" s="216"/>
      <c r="AL75" s="216"/>
      <c r="AM75" s="216"/>
      <c r="AN75" s="216"/>
      <c r="AO75" s="216"/>
      <c r="AP75" s="216"/>
      <c r="AQ75" s="216"/>
      <c r="AR75" s="216"/>
      <c r="AS75" s="216"/>
      <c r="AT75" s="216"/>
      <c r="AU75" s="216"/>
      <c r="AV75" s="216"/>
      <c r="AW75" s="216"/>
      <c r="AX75" s="216"/>
      <c r="AY75" s="216"/>
      <c r="AZ75" s="216"/>
      <c r="BA75" s="216"/>
      <c r="BB75" s="216"/>
      <c r="BC75" s="216"/>
      <c r="BD75" s="216"/>
      <c r="BE75" s="216"/>
      <c r="BF75" s="216"/>
      <c r="BG75" s="216"/>
      <c r="BH75" s="216"/>
      <c r="BI75" s="216"/>
      <c r="BJ75" s="216"/>
      <c r="BK75" s="216"/>
      <c r="BL75" s="217"/>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row>
    <row r="76" spans="4:116" x14ac:dyDescent="0.25">
      <c r="D76" s="215"/>
      <c r="E76" s="216"/>
      <c r="F76" s="216"/>
      <c r="G76" s="216"/>
      <c r="H76" s="216"/>
      <c r="I76" s="216"/>
      <c r="J76" s="216"/>
      <c r="K76" s="216"/>
      <c r="L76" s="216"/>
      <c r="M76" s="216"/>
      <c r="N76" s="216"/>
      <c r="O76" s="216"/>
      <c r="P76" s="216"/>
      <c r="Q76" s="216"/>
      <c r="R76" s="216"/>
      <c r="S76" s="216"/>
      <c r="T76" s="216"/>
      <c r="U76" s="216"/>
      <c r="V76" s="216"/>
      <c r="W76" s="216"/>
      <c r="X76" s="216"/>
      <c r="Y76" s="216"/>
      <c r="Z76" s="216"/>
      <c r="AA76" s="216"/>
      <c r="AB76" s="216"/>
      <c r="AC76" s="216"/>
      <c r="AD76" s="216"/>
      <c r="AE76" s="216"/>
      <c r="AF76" s="216"/>
      <c r="AG76" s="216"/>
      <c r="AH76" s="216"/>
      <c r="AI76" s="216"/>
      <c r="AJ76" s="216"/>
      <c r="AK76" s="216"/>
      <c r="AL76" s="216"/>
      <c r="AM76" s="216"/>
      <c r="AN76" s="216"/>
      <c r="AO76" s="216"/>
      <c r="AP76" s="216"/>
      <c r="AQ76" s="216"/>
      <c r="AR76" s="216"/>
      <c r="AS76" s="216"/>
      <c r="AT76" s="216"/>
      <c r="AU76" s="216"/>
      <c r="AV76" s="216"/>
      <c r="AW76" s="216"/>
      <c r="AX76" s="216"/>
      <c r="AY76" s="216"/>
      <c r="AZ76" s="216"/>
      <c r="BA76" s="216"/>
      <c r="BB76" s="216"/>
      <c r="BC76" s="216"/>
      <c r="BD76" s="216"/>
      <c r="BE76" s="216"/>
      <c r="BF76" s="216"/>
      <c r="BG76" s="216"/>
      <c r="BH76" s="216"/>
      <c r="BI76" s="216"/>
      <c r="BJ76" s="216"/>
      <c r="BK76" s="216"/>
      <c r="BL76" s="217"/>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row>
    <row r="77" spans="4:116" ht="15.5" thickBot="1" x14ac:dyDescent="0.3">
      <c r="D77" s="218"/>
      <c r="E77" s="219"/>
      <c r="F77" s="219"/>
      <c r="G77" s="219"/>
      <c r="H77" s="219"/>
      <c r="I77" s="219"/>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19"/>
      <c r="AU77" s="219"/>
      <c r="AV77" s="219"/>
      <c r="AW77" s="219"/>
      <c r="AX77" s="219"/>
      <c r="AY77" s="219"/>
      <c r="AZ77" s="219"/>
      <c r="BA77" s="219"/>
      <c r="BB77" s="219"/>
      <c r="BC77" s="219"/>
      <c r="BD77" s="219"/>
      <c r="BE77" s="219"/>
      <c r="BF77" s="219"/>
      <c r="BG77" s="219"/>
      <c r="BH77" s="219"/>
      <c r="BI77" s="219"/>
      <c r="BJ77" s="219"/>
      <c r="BK77" s="219"/>
      <c r="BL77" s="220"/>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row>
  </sheetData>
  <mergeCells count="215">
    <mergeCell ref="CO30:CT31"/>
    <mergeCell ref="AT28:AZ29"/>
    <mergeCell ref="BG28:BL29"/>
    <mergeCell ref="BM28:BQ29"/>
    <mergeCell ref="BR28:BY29"/>
    <mergeCell ref="BZ28:CD29"/>
    <mergeCell ref="CE28:CI29"/>
    <mergeCell ref="CJ28:CN29"/>
    <mergeCell ref="CO28:CT29"/>
    <mergeCell ref="AT30:AZ31"/>
    <mergeCell ref="BG30:BL31"/>
    <mergeCell ref="BM30:BQ31"/>
    <mergeCell ref="BR30:BY31"/>
    <mergeCell ref="BZ30:CD31"/>
    <mergeCell ref="CE30:CI31"/>
    <mergeCell ref="CJ30:CN31"/>
    <mergeCell ref="A30:A31"/>
    <mergeCell ref="B30:I31"/>
    <mergeCell ref="J30:O31"/>
    <mergeCell ref="P30:T31"/>
    <mergeCell ref="U30:Y31"/>
    <mergeCell ref="Z30:AD31"/>
    <mergeCell ref="AE30:AI31"/>
    <mergeCell ref="AJ30:AN31"/>
    <mergeCell ref="AO30:AS31"/>
    <mergeCell ref="A28:A29"/>
    <mergeCell ref="B28:I29"/>
    <mergeCell ref="J28:O29"/>
    <mergeCell ref="P28:T29"/>
    <mergeCell ref="U28:Y29"/>
    <mergeCell ref="Z28:AD29"/>
    <mergeCell ref="AE28:AI29"/>
    <mergeCell ref="AJ28:AN29"/>
    <mergeCell ref="AO28:AS29"/>
    <mergeCell ref="CO24:CT25"/>
    <mergeCell ref="Z24:AD25"/>
    <mergeCell ref="AE24:AI25"/>
    <mergeCell ref="AJ24:AN25"/>
    <mergeCell ref="AO24:AS25"/>
    <mergeCell ref="AT24:AZ25"/>
    <mergeCell ref="BG24:BL25"/>
    <mergeCell ref="CE26:CI27"/>
    <mergeCell ref="CJ26:CN27"/>
    <mergeCell ref="CO26:CT27"/>
    <mergeCell ref="CE24:CI25"/>
    <mergeCell ref="CJ24:CN25"/>
    <mergeCell ref="CE20:CI21"/>
    <mergeCell ref="CJ20:CN21"/>
    <mergeCell ref="A26:A27"/>
    <mergeCell ref="B26:I27"/>
    <mergeCell ref="J26:O27"/>
    <mergeCell ref="P26:T27"/>
    <mergeCell ref="U26:Y27"/>
    <mergeCell ref="Z26:AD27"/>
    <mergeCell ref="BM24:BQ25"/>
    <mergeCell ref="BR24:BY25"/>
    <mergeCell ref="BZ24:CD25"/>
    <mergeCell ref="BR26:BY27"/>
    <mergeCell ref="BZ26:CD27"/>
    <mergeCell ref="AE26:AI27"/>
    <mergeCell ref="AJ26:AN27"/>
    <mergeCell ref="AO26:AS27"/>
    <mergeCell ref="U24:Y25"/>
    <mergeCell ref="AT26:AZ27"/>
    <mergeCell ref="BG26:BL27"/>
    <mergeCell ref="BM26:BQ27"/>
    <mergeCell ref="CO20:CT21"/>
    <mergeCell ref="A22:A23"/>
    <mergeCell ref="B22:I23"/>
    <mergeCell ref="J22:O23"/>
    <mergeCell ref="P22:T23"/>
    <mergeCell ref="U22:Y23"/>
    <mergeCell ref="Z22:AD23"/>
    <mergeCell ref="AJ20:AN21"/>
    <mergeCell ref="AO20:AS21"/>
    <mergeCell ref="AT20:AZ21"/>
    <mergeCell ref="BG20:BL21"/>
    <mergeCell ref="BM20:BQ21"/>
    <mergeCell ref="BR20:BY21"/>
    <mergeCell ref="BR22:BY23"/>
    <mergeCell ref="BZ22:CD23"/>
    <mergeCell ref="CE22:CI23"/>
    <mergeCell ref="CJ22:CN23"/>
    <mergeCell ref="CO22:CT23"/>
    <mergeCell ref="AE22:AI23"/>
    <mergeCell ref="AJ22:AN23"/>
    <mergeCell ref="AO22:AS23"/>
    <mergeCell ref="AT22:AZ23"/>
    <mergeCell ref="BG22:BL23"/>
    <mergeCell ref="BM22:BQ23"/>
    <mergeCell ref="A18:A19"/>
    <mergeCell ref="B18:I19"/>
    <mergeCell ref="J18:O19"/>
    <mergeCell ref="P18:T19"/>
    <mergeCell ref="U18:Y19"/>
    <mergeCell ref="Z18:AD19"/>
    <mergeCell ref="AE18:AI19"/>
    <mergeCell ref="AJ18:AN19"/>
    <mergeCell ref="Y42:AZ43"/>
    <mergeCell ref="B32:AS33"/>
    <mergeCell ref="AT32:AZ33"/>
    <mergeCell ref="A20:A21"/>
    <mergeCell ref="B20:I21"/>
    <mergeCell ref="J20:O21"/>
    <mergeCell ref="P20:T21"/>
    <mergeCell ref="U20:Y21"/>
    <mergeCell ref="Z20:AD21"/>
    <mergeCell ref="AE20:AI21"/>
    <mergeCell ref="AO18:AS19"/>
    <mergeCell ref="AT18:AZ19"/>
    <mergeCell ref="A24:A25"/>
    <mergeCell ref="B24:I25"/>
    <mergeCell ref="J24:O25"/>
    <mergeCell ref="P24:T25"/>
    <mergeCell ref="BY57:CT57"/>
    <mergeCell ref="DD57:DX57"/>
    <mergeCell ref="BH58:BV61"/>
    <mergeCell ref="BY58:CT59"/>
    <mergeCell ref="DD58:DX59"/>
    <mergeCell ref="BY60:CT60"/>
    <mergeCell ref="BY61:CT62"/>
    <mergeCell ref="D66:J67"/>
    <mergeCell ref="D68:BL77"/>
    <mergeCell ref="BR53:BV53"/>
    <mergeCell ref="BF54:BG56"/>
    <mergeCell ref="BH54:BL56"/>
    <mergeCell ref="BM54:BQ56"/>
    <mergeCell ref="BR54:BV56"/>
    <mergeCell ref="BY54:CT54"/>
    <mergeCell ref="BY49:CT49"/>
    <mergeCell ref="DD49:DX49"/>
    <mergeCell ref="BH51:BV51"/>
    <mergeCell ref="BY51:CT51"/>
    <mergeCell ref="DD51:DX51"/>
    <mergeCell ref="BH52:BV52"/>
    <mergeCell ref="BY52:CT53"/>
    <mergeCell ref="DD52:DX53"/>
    <mergeCell ref="BH53:BL53"/>
    <mergeCell ref="BM53:BQ53"/>
    <mergeCell ref="DD54:DX54"/>
    <mergeCell ref="BY55:CT56"/>
    <mergeCell ref="DD55:DX56"/>
    <mergeCell ref="BY42:CT43"/>
    <mergeCell ref="Y44:AZ44"/>
    <mergeCell ref="BY44:CT44"/>
    <mergeCell ref="Y45:AZ46"/>
    <mergeCell ref="BY45:CT46"/>
    <mergeCell ref="Y38:AZ38"/>
    <mergeCell ref="BY38:CT38"/>
    <mergeCell ref="Y39:AZ40"/>
    <mergeCell ref="BY39:CT40"/>
    <mergeCell ref="Y41:AZ41"/>
    <mergeCell ref="BY41:CT41"/>
    <mergeCell ref="CO32:CT33"/>
    <mergeCell ref="Y36:AZ36"/>
    <mergeCell ref="BY36:CT36"/>
    <mergeCell ref="BM16:BQ17"/>
    <mergeCell ref="BR16:BY17"/>
    <mergeCell ref="BZ16:CD17"/>
    <mergeCell ref="CE16:CI17"/>
    <mergeCell ref="CJ16:CN17"/>
    <mergeCell ref="CO16:CT17"/>
    <mergeCell ref="Z16:AD17"/>
    <mergeCell ref="AE16:AI17"/>
    <mergeCell ref="AJ16:AN17"/>
    <mergeCell ref="AO16:AS17"/>
    <mergeCell ref="AT16:AZ17"/>
    <mergeCell ref="BG16:BL17"/>
    <mergeCell ref="BG32:CN33"/>
    <mergeCell ref="CE18:CI19"/>
    <mergeCell ref="CJ18:CN19"/>
    <mergeCell ref="CO18:CT19"/>
    <mergeCell ref="BG18:BL19"/>
    <mergeCell ref="BM18:BQ19"/>
    <mergeCell ref="BR18:BY19"/>
    <mergeCell ref="BZ18:CD19"/>
    <mergeCell ref="BZ20:CD21"/>
    <mergeCell ref="A16:A17"/>
    <mergeCell ref="B16:I17"/>
    <mergeCell ref="J16:O17"/>
    <mergeCell ref="P16:T17"/>
    <mergeCell ref="U16:Y17"/>
    <mergeCell ref="AE14:AI15"/>
    <mergeCell ref="AJ14:AN15"/>
    <mergeCell ref="AO14:AS15"/>
    <mergeCell ref="AT14:AZ15"/>
    <mergeCell ref="B12:CW12"/>
    <mergeCell ref="R13:T13"/>
    <mergeCell ref="AA13:AP13"/>
    <mergeCell ref="AQ13:AS13"/>
    <mergeCell ref="BO13:BQ13"/>
    <mergeCell ref="B14:I15"/>
    <mergeCell ref="J14:O15"/>
    <mergeCell ref="P14:T15"/>
    <mergeCell ref="U14:Y15"/>
    <mergeCell ref="Z14:AD15"/>
    <mergeCell ref="BR14:BY15"/>
    <mergeCell ref="BZ14:CD15"/>
    <mergeCell ref="CE14:CI15"/>
    <mergeCell ref="CJ14:CN15"/>
    <mergeCell ref="CO14:CT15"/>
    <mergeCell ref="BG14:BL15"/>
    <mergeCell ref="BM14:BQ15"/>
    <mergeCell ref="B6:AC9"/>
    <mergeCell ref="BX6:CV6"/>
    <mergeCell ref="BX7:CV7"/>
    <mergeCell ref="BX8:CV8"/>
    <mergeCell ref="BX9:CV9"/>
    <mergeCell ref="BX10:CV10"/>
    <mergeCell ref="CV1:CY1"/>
    <mergeCell ref="BX2:CV2"/>
    <mergeCell ref="AL3:BK9"/>
    <mergeCell ref="BX3:CV3"/>
    <mergeCell ref="BX4:CV4"/>
    <mergeCell ref="BX5:CV5"/>
  </mergeCells>
  <phoneticPr fontId="3"/>
  <printOptions horizontalCentered="1" verticalCentered="1"/>
  <pageMargins left="0" right="0" top="0" bottom="0" header="0" footer="0"/>
  <pageSetup paperSize="8" scale="4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エレコミ</vt:lpstr>
      <vt:lpstr>エレコミ!Print_Area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小坂絢太</dc:creator>
  <cp:lastModifiedBy>小巻 首藤</cp:lastModifiedBy>
  <cp:lastPrinted>2026-05-20T01:13:50Z</cp:lastPrinted>
  <dcterms:created xsi:type="dcterms:W3CDTF">2026-03-27T03:12:18Z</dcterms:created>
  <dcterms:modified xsi:type="dcterms:W3CDTF">2026-05-20T01:40:27Z</dcterms:modified>
</cp:coreProperties>
</file>